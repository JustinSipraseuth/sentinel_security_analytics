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\SentinelAnalyticsWork\sentinel_security_analytics\sentinel_security_analytics\analysis\det-003\"/>
    </mc:Choice>
  </mc:AlternateContent>
  <xr:revisionPtr revIDLastSave="0" documentId="8_{86DACFCF-CF86-4A0E-B54C-C7DCA5D793AB}" xr6:coauthVersionLast="47" xr6:coauthVersionMax="47" xr10:uidLastSave="{00000000-0000-0000-0000-000000000000}"/>
  <bookViews>
    <workbookView xWindow="-108" yWindow="-108" windowWidth="23256" windowHeight="13176" firstSheet="3" activeTab="3" xr2:uid="{7052585D-0955-45EC-8900-D6EF8779CB05}"/>
  </bookViews>
  <sheets>
    <sheet name="WeeklyPivotTable" sheetId="2" r:id="rId1"/>
    <sheet name="Weekly_AuthenticationResults_Or" sheetId="1" r:id="rId2"/>
    <sheet name="Daily_AuthResult_Org2Week33" sheetId="3" r:id="rId3"/>
    <sheet name="AuthResult_Org2_Day8-13" sheetId="4" r:id="rId4"/>
    <sheet name="PivotTable-AuthRes_Org2_Day33" sheetId="5" r:id="rId5"/>
  </sheets>
  <calcPr calcId="191029"/>
  <pivotCaches>
    <pivotCache cacheId="2" r:id="rId6"/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D18" i="2"/>
  <c r="E18" i="2"/>
  <c r="F18" i="2"/>
  <c r="G18" i="2"/>
  <c r="H18" i="2"/>
  <c r="I18" i="2"/>
  <c r="C19" i="2"/>
  <c r="D19" i="2"/>
  <c r="E19" i="2"/>
  <c r="F19" i="2"/>
  <c r="G19" i="2"/>
  <c r="H19" i="2"/>
  <c r="I19" i="2"/>
  <c r="C20" i="2"/>
  <c r="D20" i="2"/>
  <c r="E20" i="2"/>
  <c r="F20" i="2"/>
  <c r="G20" i="2"/>
  <c r="H20" i="2"/>
  <c r="I20" i="2"/>
  <c r="C21" i="2"/>
  <c r="D21" i="2"/>
  <c r="E21" i="2"/>
  <c r="F21" i="2"/>
  <c r="G21" i="2"/>
  <c r="H21" i="2"/>
  <c r="I21" i="2"/>
  <c r="C22" i="2"/>
  <c r="D22" i="2"/>
  <c r="E22" i="2"/>
  <c r="F22" i="2"/>
  <c r="G22" i="2"/>
  <c r="H22" i="2"/>
  <c r="I22" i="2"/>
  <c r="C23" i="2"/>
  <c r="D23" i="2"/>
  <c r="E23" i="2"/>
  <c r="F23" i="2"/>
  <c r="G23" i="2"/>
  <c r="H23" i="2"/>
  <c r="I23" i="2"/>
  <c r="C24" i="2"/>
  <c r="D24" i="2"/>
  <c r="E24" i="2"/>
  <c r="F24" i="2"/>
  <c r="G24" i="2"/>
  <c r="H24" i="2"/>
  <c r="I24" i="2"/>
  <c r="C25" i="2"/>
  <c r="D25" i="2"/>
  <c r="E25" i="2"/>
  <c r="F25" i="2"/>
  <c r="G25" i="2"/>
  <c r="H25" i="2"/>
  <c r="I25" i="2"/>
  <c r="C26" i="2"/>
  <c r="D26" i="2"/>
  <c r="E26" i="2"/>
  <c r="F26" i="2"/>
  <c r="G26" i="2"/>
  <c r="H26" i="2"/>
  <c r="I26" i="2"/>
  <c r="C27" i="2"/>
  <c r="D27" i="2"/>
  <c r="E27" i="2"/>
  <c r="F27" i="2"/>
  <c r="G27" i="2"/>
  <c r="H27" i="2"/>
  <c r="I27" i="2"/>
  <c r="B27" i="2"/>
  <c r="B26" i="2"/>
  <c r="B19" i="2"/>
  <c r="B20" i="2"/>
  <c r="B21" i="2"/>
  <c r="B22" i="2"/>
  <c r="B23" i="2"/>
  <c r="B24" i="2"/>
  <c r="B25" i="2"/>
  <c r="B18" i="2"/>
</calcChain>
</file>

<file path=xl/sharedStrings.xml><?xml version="1.0" encoding="utf-8"?>
<sst xmlns="http://schemas.openxmlformats.org/spreadsheetml/2006/main" count="565" uniqueCount="100">
  <si>
    <t>organization_id</t>
  </si>
  <si>
    <t>weekofevent</t>
  </si>
  <si>
    <t>numofauthresults</t>
  </si>
  <si>
    <t>numofauthsuccesses</t>
  </si>
  <si>
    <t>numoffailures</t>
  </si>
  <si>
    <t>failurerate</t>
  </si>
  <si>
    <t>Row Labels</t>
  </si>
  <si>
    <t>Grand Total</t>
  </si>
  <si>
    <t>Column Labels</t>
  </si>
  <si>
    <t>Average of failurerate</t>
  </si>
  <si>
    <t>(All)</t>
  </si>
  <si>
    <t>dayofevent</t>
  </si>
  <si>
    <t>event_id</t>
  </si>
  <si>
    <t>event_timestamp</t>
  </si>
  <si>
    <t>user_id</t>
  </si>
  <si>
    <t>device_id</t>
  </si>
  <si>
    <t>ip_address</t>
  </si>
  <si>
    <t>application_name</t>
  </si>
  <si>
    <t>authentication_method</t>
  </si>
  <si>
    <t>authentication_result</t>
  </si>
  <si>
    <t>203.0.113.244</t>
  </si>
  <si>
    <t>Google Workspace</t>
  </si>
  <si>
    <t>Password</t>
  </si>
  <si>
    <t>Success</t>
  </si>
  <si>
    <t>198.51.100.203</t>
  </si>
  <si>
    <t>Salesforce</t>
  </si>
  <si>
    <t>SSO</t>
  </si>
  <si>
    <t>203.0.113.130</t>
  </si>
  <si>
    <t>192.0.2.242</t>
  </si>
  <si>
    <t>Workday</t>
  </si>
  <si>
    <t>OAuth</t>
  </si>
  <si>
    <t>203.0.113.131</t>
  </si>
  <si>
    <t>GitHub Enterprise</t>
  </si>
  <si>
    <t>Passkey</t>
  </si>
  <si>
    <t>203.0.113.141</t>
  </si>
  <si>
    <t>Microsoft 365</t>
  </si>
  <si>
    <t>203.0.113.73</t>
  </si>
  <si>
    <t>VPN Portal</t>
  </si>
  <si>
    <t>203.0.113.252</t>
  </si>
  <si>
    <t>192.0.2.27</t>
  </si>
  <si>
    <t>203.0.113.165</t>
  </si>
  <si>
    <t>203.0.113.107</t>
  </si>
  <si>
    <t>MFA Push</t>
  </si>
  <si>
    <t>198.51.100.14</t>
  </si>
  <si>
    <t>198.51.100.92</t>
  </si>
  <si>
    <t>192.0.2.92</t>
  </si>
  <si>
    <t>198.51.100.132</t>
  </si>
  <si>
    <t>Slack</t>
  </si>
  <si>
    <t>203.0.113.127</t>
  </si>
  <si>
    <t>198.51.100.44</t>
  </si>
  <si>
    <t>ServiceNow</t>
  </si>
  <si>
    <t>198.51.100.56</t>
  </si>
  <si>
    <t>203.0.113.144</t>
  </si>
  <si>
    <t>192.0.2.24</t>
  </si>
  <si>
    <t>198.51.100.12</t>
  </si>
  <si>
    <t>198.51.100.67</t>
  </si>
  <si>
    <t>192.0.2.71</t>
  </si>
  <si>
    <t>192.0.2.161</t>
  </si>
  <si>
    <t>198.51.100.186</t>
  </si>
  <si>
    <t>198.51.100.151</t>
  </si>
  <si>
    <t>192.0.2.74</t>
  </si>
  <si>
    <t>192.0.2.14</t>
  </si>
  <si>
    <t>192.0.2.30</t>
  </si>
  <si>
    <t>Internal Admin Portal</t>
  </si>
  <si>
    <t>198.51.100.194</t>
  </si>
  <si>
    <t>192.0.2.158</t>
  </si>
  <si>
    <t>203.0.113.217</t>
  </si>
  <si>
    <t>192.0.2.106</t>
  </si>
  <si>
    <t>192.0.2.23</t>
  </si>
  <si>
    <t>192.0.2.159</t>
  </si>
  <si>
    <t>Invalid Password</t>
  </si>
  <si>
    <t>198.51.100.166</t>
  </si>
  <si>
    <t>AWS Console</t>
  </si>
  <si>
    <t>192.0.2.46</t>
  </si>
  <si>
    <t>198.51.100.205</t>
  </si>
  <si>
    <t>198.51.100.161</t>
  </si>
  <si>
    <t>192.0.2.95</t>
  </si>
  <si>
    <t>198.51.100.49</t>
  </si>
  <si>
    <t>198.51.100.112</t>
  </si>
  <si>
    <t>192.0.2.112</t>
  </si>
  <si>
    <t>192.0.2.21</t>
  </si>
  <si>
    <t>203.0.113.67</t>
  </si>
  <si>
    <t>198.51.100.213</t>
  </si>
  <si>
    <t>203.0.113.143</t>
  </si>
  <si>
    <t>198.51.100.27</t>
  </si>
  <si>
    <t>203.0.113.189</t>
  </si>
  <si>
    <t>203.0.113.122</t>
  </si>
  <si>
    <t>198.51.100.100</t>
  </si>
  <si>
    <t>192.0.2.226</t>
  </si>
  <si>
    <t>198.51.100.193</t>
  </si>
  <si>
    <t>192.0.2.38</t>
  </si>
  <si>
    <t>203.0.113.230</t>
  </si>
  <si>
    <t>198.51.100.53</t>
  </si>
  <si>
    <t>203.0.113.250</t>
  </si>
  <si>
    <t>198.51.100.110</t>
  </si>
  <si>
    <t>192.0.2.155</t>
  </si>
  <si>
    <t>198.51.100.165</t>
  </si>
  <si>
    <t>203.0.113.219</t>
  </si>
  <si>
    <t>Count of authentication_result</t>
  </si>
  <si>
    <t>Therefore, Filter Original table to this IP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</si>
</sst>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[Weekly_Org2AuthenticationResults_Organizations-DET003_Sentinel.xlsx]WeeklyPivotTable!PivotTable1</c:name>
    <c:fmtId val="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WeeklyPivotTable!$B$3:$B$4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WeeklyPivotTable!$A$5:$A$15</c:f>
              <c:strCache>
                <c:ptCount val="1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</c:strCache>
            </c:strRef>
          </c:cat>
          <c:val>
            <c:numRef>
              <c:f>WeeklyPivotTable!$B$5:$B$15</c:f>
              <c:numCache>
                <c:formatCode>General</c:formatCode>
                <c:ptCount val="10"/>
                <c:pt idx="0">
                  <c:v>0</c:v>
                </c:pt>
                <c:pt idx="1">
                  <c:v>9.1295116772823697</c:v>
                </c:pt>
                <c:pt idx="2">
                  <c:v>10.159362549800701</c:v>
                </c:pt>
                <c:pt idx="3">
                  <c:v>10.772357723577199</c:v>
                </c:pt>
                <c:pt idx="4">
                  <c:v>8.9005235602094199</c:v>
                </c:pt>
                <c:pt idx="5">
                  <c:v>8.7188612099644107</c:v>
                </c:pt>
                <c:pt idx="6">
                  <c:v>8.7044534412955397</c:v>
                </c:pt>
                <c:pt idx="7">
                  <c:v>11.0074626865671</c:v>
                </c:pt>
                <c:pt idx="8">
                  <c:v>7.9470198675496597</c:v>
                </c:pt>
                <c:pt idx="9">
                  <c:v>9.5808383233532908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8-4E32-975F-085A99FE9B7B}"/>
            </c:ext>
          </c:extLst>
        </c:ser>
        <c:ser>
          <c:idx val="1"/>
          <c:order val="1"/>
          <c:tx>
            <c:strRef>
              <c:f>WeeklyPivotTable!$C$3:$C$4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WeeklyPivotTable!$A$5:$A$15</c:f>
              <c:strCache>
                <c:ptCount val="1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</c:strCache>
            </c:strRef>
          </c:cat>
          <c:val>
            <c:numRef>
              <c:f>WeeklyPivotTable!$C$5:$C$15</c:f>
              <c:numCache>
                <c:formatCode>General</c:formatCode>
                <c:ptCount val="10"/>
                <c:pt idx="0">
                  <c:v>20</c:v>
                </c:pt>
                <c:pt idx="1">
                  <c:v>5.9523809523809499</c:v>
                </c:pt>
                <c:pt idx="2">
                  <c:v>10.2127659574468</c:v>
                </c:pt>
                <c:pt idx="3">
                  <c:v>9.1764705882352899</c:v>
                </c:pt>
                <c:pt idx="4">
                  <c:v>8.9912280701754295</c:v>
                </c:pt>
                <c:pt idx="5">
                  <c:v>7.7625570776255701</c:v>
                </c:pt>
                <c:pt idx="6">
                  <c:v>8.7234042553191404</c:v>
                </c:pt>
                <c:pt idx="7">
                  <c:v>8.3160083160083094</c:v>
                </c:pt>
                <c:pt idx="8">
                  <c:v>17.372881355932201</c:v>
                </c:pt>
                <c:pt idx="9">
                  <c:v>11.1111111111111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6C8-4E32-975F-085A99FE9B7B}"/>
            </c:ext>
          </c:extLst>
        </c:ser>
        <c:ser>
          <c:idx val="2"/>
          <c:order val="2"/>
          <c:tx>
            <c:strRef>
              <c:f>WeeklyPivotTable!$D$3:$D$4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WeeklyPivotTable!$A$5:$A$15</c:f>
              <c:strCache>
                <c:ptCount val="1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</c:strCache>
            </c:strRef>
          </c:cat>
          <c:val>
            <c:numRef>
              <c:f>WeeklyPivotTable!$D$5:$D$15</c:f>
              <c:numCache>
                <c:formatCode>General</c:formatCode>
                <c:ptCount val="10"/>
                <c:pt idx="0">
                  <c:v>0</c:v>
                </c:pt>
                <c:pt idx="1">
                  <c:v>9.6026490066225101</c:v>
                </c:pt>
                <c:pt idx="2">
                  <c:v>7.5581395348837201</c:v>
                </c:pt>
                <c:pt idx="3">
                  <c:v>7.2674418604651096</c:v>
                </c:pt>
                <c:pt idx="4">
                  <c:v>7.1641791044776104</c:v>
                </c:pt>
                <c:pt idx="5">
                  <c:v>8.4175084175084098</c:v>
                </c:pt>
                <c:pt idx="6">
                  <c:v>12.609970674486799</c:v>
                </c:pt>
                <c:pt idx="7">
                  <c:v>4.3988269794721404</c:v>
                </c:pt>
                <c:pt idx="8">
                  <c:v>5.8641975308641898</c:v>
                </c:pt>
                <c:pt idx="9">
                  <c:v>6.3926940639269398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6C8-4E32-975F-085A99FE9B7B}"/>
            </c:ext>
          </c:extLst>
        </c:ser>
        <c:ser>
          <c:idx val="3"/>
          <c:order val="3"/>
          <c:tx>
            <c:strRef>
              <c:f>WeeklyPivotTable!$E$3:$E$4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WeeklyPivotTable!$A$5:$A$15</c:f>
              <c:strCache>
                <c:ptCount val="1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</c:strCache>
            </c:strRef>
          </c:cat>
          <c:val>
            <c:numRef>
              <c:f>WeeklyPivotTable!$E$5:$E$15</c:f>
              <c:numCache>
                <c:formatCode>General</c:formatCode>
                <c:ptCount val="10"/>
                <c:pt idx="0">
                  <c:v>0</c:v>
                </c:pt>
                <c:pt idx="1">
                  <c:v>8.86075949367088</c:v>
                </c:pt>
                <c:pt idx="2">
                  <c:v>5.5248618784530299</c:v>
                </c:pt>
                <c:pt idx="3">
                  <c:v>8.0459770114942497</c:v>
                </c:pt>
                <c:pt idx="4">
                  <c:v>10.8823529411764</c:v>
                </c:pt>
                <c:pt idx="5">
                  <c:v>5.12129380053908</c:v>
                </c:pt>
                <c:pt idx="6">
                  <c:v>10.465116279069701</c:v>
                </c:pt>
                <c:pt idx="7">
                  <c:v>8.7463556851311903</c:v>
                </c:pt>
                <c:pt idx="8">
                  <c:v>8.9080459770114899</c:v>
                </c:pt>
                <c:pt idx="9">
                  <c:v>8.8785046728971899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6C8-4E32-975F-085A99FE9B7B}"/>
            </c:ext>
          </c:extLst>
        </c:ser>
        <c:ser>
          <c:idx val="4"/>
          <c:order val="4"/>
          <c:tx>
            <c:strRef>
              <c:f>WeeklyPivotTable!$F$3:$F$4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WeeklyPivotTable!$A$5:$A$15</c:f>
              <c:strCache>
                <c:ptCount val="1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</c:strCache>
            </c:strRef>
          </c:cat>
          <c:val>
            <c:numRef>
              <c:f>WeeklyPivotTable!$F$5:$F$15</c:f>
              <c:numCache>
                <c:formatCode>General</c:formatCode>
                <c:ptCount val="10"/>
                <c:pt idx="0">
                  <c:v>20</c:v>
                </c:pt>
                <c:pt idx="1">
                  <c:v>4.46428571428571</c:v>
                </c:pt>
                <c:pt idx="2">
                  <c:v>9.6938775510203996</c:v>
                </c:pt>
                <c:pt idx="3">
                  <c:v>4.7846889952153102</c:v>
                </c:pt>
                <c:pt idx="4">
                  <c:v>12.5</c:v>
                </c:pt>
                <c:pt idx="5">
                  <c:v>9.3596059113300392</c:v>
                </c:pt>
                <c:pt idx="6">
                  <c:v>12.077294685990299</c:v>
                </c:pt>
                <c:pt idx="7">
                  <c:v>12.562814070351701</c:v>
                </c:pt>
                <c:pt idx="8">
                  <c:v>9.1787439613526498</c:v>
                </c:pt>
                <c:pt idx="9">
                  <c:v>8.7591240875912408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6C8-4E32-975F-085A99FE9B7B}"/>
            </c:ext>
          </c:extLst>
        </c:ser>
        <c:ser>
          <c:idx val="5"/>
          <c:order val="5"/>
          <c:tx>
            <c:strRef>
              <c:f>WeeklyPivotTable!$G$3:$G$4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WeeklyPivotTable!$A$5:$A$15</c:f>
              <c:strCache>
                <c:ptCount val="1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</c:strCache>
            </c:strRef>
          </c:cat>
          <c:val>
            <c:numRef>
              <c:f>WeeklyPivotTable!$G$5:$G$15</c:f>
              <c:numCache>
                <c:formatCode>General</c:formatCode>
                <c:ptCount val="10"/>
                <c:pt idx="0">
                  <c:v>0</c:v>
                </c:pt>
                <c:pt idx="1">
                  <c:v>10.7296137339055</c:v>
                </c:pt>
                <c:pt idx="2">
                  <c:v>8.2524271844660095</c:v>
                </c:pt>
                <c:pt idx="3">
                  <c:v>7.46887966804979</c:v>
                </c:pt>
                <c:pt idx="4">
                  <c:v>11.3043478260869</c:v>
                </c:pt>
                <c:pt idx="5">
                  <c:v>6.6037735849056602</c:v>
                </c:pt>
                <c:pt idx="6">
                  <c:v>9.6234309623430896</c:v>
                </c:pt>
                <c:pt idx="7">
                  <c:v>4.2253521126760498</c:v>
                </c:pt>
                <c:pt idx="8">
                  <c:v>8.3969465648854893</c:v>
                </c:pt>
                <c:pt idx="9">
                  <c:v>9.3959731543624105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6C8-4E32-975F-085A99FE9B7B}"/>
            </c:ext>
          </c:extLst>
        </c:ser>
        <c:ser>
          <c:idx val="6"/>
          <c:order val="6"/>
          <c:tx>
            <c:strRef>
              <c:f>WeeklyPivotTable!$H$3:$H$4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WeeklyPivotTable!$A$5:$A$15</c:f>
              <c:strCache>
                <c:ptCount val="1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</c:strCache>
            </c:strRef>
          </c:cat>
          <c:val>
            <c:numRef>
              <c:f>WeeklyPivotTable!$H$5:$H$15</c:f>
              <c:numCache>
                <c:formatCode>General</c:formatCode>
                <c:ptCount val="10"/>
                <c:pt idx="0">
                  <c:v>28.571428571428498</c:v>
                </c:pt>
                <c:pt idx="1">
                  <c:v>9.4629156010230098</c:v>
                </c:pt>
                <c:pt idx="2">
                  <c:v>9.4059405940594001</c:v>
                </c:pt>
                <c:pt idx="3">
                  <c:v>9.0909090909090899</c:v>
                </c:pt>
                <c:pt idx="4">
                  <c:v>6.3938618925831197</c:v>
                </c:pt>
                <c:pt idx="5">
                  <c:v>9.25</c:v>
                </c:pt>
                <c:pt idx="6">
                  <c:v>8.8235294117646994</c:v>
                </c:pt>
                <c:pt idx="7">
                  <c:v>9.0047393364928894</c:v>
                </c:pt>
                <c:pt idx="8">
                  <c:v>9.3137254901960702</c:v>
                </c:pt>
                <c:pt idx="9">
                  <c:v>9.3385214007782107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6C8-4E32-975F-085A99FE9B7B}"/>
            </c:ext>
          </c:extLst>
        </c:ser>
        <c:ser>
          <c:idx val="7"/>
          <c:order val="7"/>
          <c:tx>
            <c:strRef>
              <c:f>WeeklyPivotTable!$I$3:$I$4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WeeklyPivotTable!$A$5:$A$15</c:f>
              <c:strCache>
                <c:ptCount val="10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</c:strCache>
            </c:strRef>
          </c:cat>
          <c:val>
            <c:numRef>
              <c:f>WeeklyPivotTable!$I$5:$I$15</c:f>
              <c:numCache>
                <c:formatCode>General</c:formatCode>
                <c:ptCount val="10"/>
                <c:pt idx="0">
                  <c:v>33.3333333333333</c:v>
                </c:pt>
                <c:pt idx="1">
                  <c:v>9.2896174863387895</c:v>
                </c:pt>
                <c:pt idx="2">
                  <c:v>8.5106382978723403</c:v>
                </c:pt>
                <c:pt idx="3">
                  <c:v>8.4656084656084598</c:v>
                </c:pt>
                <c:pt idx="4">
                  <c:v>7.7720207253886002</c:v>
                </c:pt>
                <c:pt idx="5">
                  <c:v>11.9791666666666</c:v>
                </c:pt>
                <c:pt idx="6">
                  <c:v>8.8235294117646994</c:v>
                </c:pt>
                <c:pt idx="7">
                  <c:v>8.7804878048780406</c:v>
                </c:pt>
                <c:pt idx="8">
                  <c:v>8.5889570552147205</c:v>
                </c:pt>
                <c:pt idx="9">
                  <c:v>7.8571428571428497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6C8-4E32-975F-085A99FE9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975392"/>
        <c:axId val="406969200"/>
      </c:lineChart>
      <c:catAx>
        <c:axId val="54797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69200"/>
        <c:crosses val="autoZero"/>
        <c:auto val="1"/>
        <c:lblAlgn val="ctr"/>
        <c:lblOffset val="100"/>
        <c:noMultiLvlLbl val="0"/>
      </c:catAx>
      <c:valAx>
        <c:axId val="40696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7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Weekly_AuthenticationResults_Or!$F$2:$F$81</c:f>
              <c:numCache>
                <c:formatCode>General</c:formatCode>
                <c:ptCount val="8"/>
                <c:pt idx="0">
                  <c:v>0</c:v>
                </c:pt>
                <c:pt idx="1">
                  <c:v>20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28.571428571428498</c:v>
                </c:pt>
                <c:pt idx="7">
                  <c:v>33.3333333333333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792-4515-BDEE-2C9751AE4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7989312"/>
        <c:axId val="4069533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Weekly_AuthenticationResults_Or!$A$2:$A$81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792-4515-BDEE-2C9751AE4367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Weekly_AuthenticationResults_Or!$B$2:$B$81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25</c:v>
                      </c:pt>
                      <c:pt idx="1">
                        <c:v>25</c:v>
                      </c:pt>
                      <c:pt idx="2">
                        <c:v>25</c:v>
                      </c:pt>
                      <c:pt idx="3">
                        <c:v>25</c:v>
                      </c:pt>
                      <c:pt idx="4">
                        <c:v>25</c:v>
                      </c:pt>
                      <c:pt idx="5">
                        <c:v>25</c:v>
                      </c:pt>
                      <c:pt idx="6">
                        <c:v>25</c:v>
                      </c:pt>
                      <c:pt idx="7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792-4515-BDEE-2C9751AE4367}"/>
                  </c:ext>
                </c:extLst>
              </c15:ser>
            </c15:filteredLineSeries>
          </c:ext>
        </c:extLst>
      </c:lineChart>
      <c:catAx>
        <c:axId val="547989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53360"/>
        <c:crosses val="autoZero"/>
        <c:auto val="1"/>
        <c:lblAlgn val="ctr"/>
        <c:lblOffset val="100"/>
        <c:noMultiLvlLbl val="0"/>
      </c:catAx>
      <c:valAx>
        <c:axId val="40695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8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182880</xdr:colOff>
      <xdr:row>29</xdr:row>
      <xdr:rowOff>76200</xdr:rowOff>
    </xdr:from>
    <xdr:to>
      <xdr:col>7</xdr:col>
      <xdr:colOff>640080</xdr:colOff>
      <xdr:row>44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DE574-41DE-EA12-1D59-45BE26A4B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4</xdr:row>
      <xdr:rowOff>106680</xdr:rowOff>
    </xdr:from>
    <xdr:to>
      <xdr:col>14</xdr:col>
      <xdr:colOff>205740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6D6046-F41A-0CC9-C61A-0E0EB1391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tin" refreshedDate="46262.805188425926" createdVersion="8" refreshedVersion="8" minRefreshableVersion="3" recordCount="80" xr:uid="{A0B4E8E8-0822-4E0C-8559-4C8FFB5B2CCE}">
  <cacheSource type="worksheet">
    <worksheetSource name="Table1"/>
  </cacheSource>
  <cacheFields count="6">
    <cacheField name="organization_id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weekofevent" numFmtId="0">
      <sharedItems containsSemiMixedTypes="0" containsString="0" containsNumber="1" containsInteger="1" minValue="25" maxValue="34" count="10">
        <n v="25"/>
        <n v="26"/>
        <n v="27"/>
        <n v="28"/>
        <n v="29"/>
        <n v="30"/>
        <n v="31"/>
        <n v="32"/>
        <n v="33"/>
        <n v="34"/>
      </sharedItems>
    </cacheField>
    <cacheField name="numofauthresults" numFmtId="0">
      <sharedItems containsSemiMixedTypes="0" containsString="0" containsNumber="1" containsInteger="1" minValue="2" maxValue="604"/>
    </cacheField>
    <cacheField name="numofauthsuccesses" numFmtId="0">
      <sharedItems containsSemiMixedTypes="0" containsString="0" containsNumber="1" containsInteger="1" minValue="2" maxValue="556"/>
    </cacheField>
    <cacheField name="numoffailures" numFmtId="0">
      <sharedItems containsSemiMixedTypes="0" containsString="0" containsNumber="1" containsInteger="1" minValue="0" maxValue="82"/>
    </cacheField>
    <cacheField name="failurerate" numFmtId="0">
      <sharedItems containsSemiMixedTypes="0" containsString="0" containsNumber="1" minValue="0" maxValue="33.3333333333333" count="75">
        <n v="0"/>
        <n v="9.1295116772823697"/>
        <n v="10.159362549800701"/>
        <n v="10.772357723577199"/>
        <n v="8.9005235602094199"/>
        <n v="8.7188612099644107"/>
        <n v="8.7044534412955397"/>
        <n v="11.0074626865671"/>
        <n v="7.9470198675496597"/>
        <n v="9.5808383233532908"/>
        <n v="20"/>
        <n v="5.9523809523809499"/>
        <n v="10.2127659574468"/>
        <n v="9.1764705882352899"/>
        <n v="8.9912280701754295"/>
        <n v="7.7625570776255701"/>
        <n v="8.7234042553191404"/>
        <n v="8.3160083160083094"/>
        <n v="17.372881355932201"/>
        <n v="11.1111111111111"/>
        <n v="9.6026490066225101"/>
        <n v="7.5581395348837201"/>
        <n v="7.2674418604651096"/>
        <n v="7.1641791044776104"/>
        <n v="8.4175084175084098"/>
        <n v="12.609970674486799"/>
        <n v="4.3988269794721404"/>
        <n v="5.8641975308641898"/>
        <n v="6.3926940639269398"/>
        <n v="8.86075949367088"/>
        <n v="5.5248618784530299"/>
        <n v="8.0459770114942497"/>
        <n v="10.8823529411764"/>
        <n v="5.12129380053908"/>
        <n v="10.465116279069701"/>
        <n v="8.7463556851311903"/>
        <n v="8.9080459770114899"/>
        <n v="8.8785046728971899"/>
        <n v="4.46428571428571"/>
        <n v="9.6938775510203996"/>
        <n v="4.7846889952153102"/>
        <n v="12.5"/>
        <n v="9.3596059113300392"/>
        <n v="12.077294685990299"/>
        <n v="12.562814070351701"/>
        <n v="9.1787439613526498"/>
        <n v="8.7591240875912408"/>
        <n v="10.7296137339055"/>
        <n v="8.2524271844660095"/>
        <n v="7.46887966804979"/>
        <n v="11.3043478260869"/>
        <n v="6.6037735849056602"/>
        <n v="9.6234309623430896"/>
        <n v="4.2253521126760498"/>
        <n v="8.3969465648854893"/>
        <n v="9.3959731543624105"/>
        <n v="28.571428571428498"/>
        <n v="9.4629156010230098"/>
        <n v="9.4059405940594001"/>
        <n v="9.0909090909090899"/>
        <n v="6.3938618925831197"/>
        <n v="9.25"/>
        <n v="8.8235294117646994"/>
        <n v="9.0047393364928894"/>
        <n v="9.3137254901960702"/>
        <n v="9.3385214007782107"/>
        <n v="33.3333333333333"/>
        <n v="9.2896174863387895"/>
        <n v="8.5106382978723403"/>
        <n v="8.4656084656084598"/>
        <n v="7.7720207253886002"/>
        <n v="11.9791666666666"/>
        <n v="8.7804878048780406"/>
        <n v="8.5889570552147205"/>
        <n v="7.857142857142849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stin" refreshedDate="46263.437650231484" createdVersion="8" refreshedVersion="8" minRefreshableVersion="3" recordCount="117" xr:uid="{25D4CF4F-B9E1-4C41-B01C-324C5F4C199F}">
  <cacheSource type="worksheet">
    <worksheetSource name="Table3"/>
  </cacheSource>
  <cacheFields count="9">
    <cacheField name="event_id" numFmtId="0">
      <sharedItems containsSemiMixedTypes="0" containsString="0" containsNumber="1" containsInteger="1" minValue="920259" maxValue="923257"/>
    </cacheField>
    <cacheField name="event_timestamp" numFmtId="22">
      <sharedItems containsSemiMixedTypes="0" containsNonDate="0" containsDate="1" containsString="0" minDate="2026-08-13T00:10:56" maxDate="2026-08-13T23:39:49"/>
    </cacheField>
    <cacheField name="user_id" numFmtId="0">
      <sharedItems containsSemiMixedTypes="0" containsString="0" containsNumber="1" containsInteger="1" minValue="1043" maxValue="1077"/>
    </cacheField>
    <cacheField name="device_id" numFmtId="0">
      <sharedItems containsString="0" containsBlank="1" containsNumber="1" containsInteger="1" minValue="5053" maxValue="5095"/>
    </cacheField>
    <cacheField name="ip_address" numFmtId="0">
      <sharedItems count="61">
        <s v="203.0.113.244"/>
        <s v="198.51.100.203"/>
        <s v="203.0.113.130"/>
        <s v="192.0.2.242"/>
        <s v="203.0.113.131"/>
        <s v="203.0.113.141"/>
        <s v="203.0.113.73"/>
        <s v="203.0.113.252"/>
        <s v="192.0.2.27"/>
        <s v="203.0.113.165"/>
        <s v="203.0.113.107"/>
        <s v="198.51.100.14"/>
        <s v="198.51.100.92"/>
        <s v="192.0.2.92"/>
        <s v="198.51.100.132"/>
        <s v="203.0.113.127"/>
        <s v="198.51.100.44"/>
        <s v="198.51.100.56"/>
        <s v="203.0.113.144"/>
        <s v="192.0.2.24"/>
        <s v="198.51.100.12"/>
        <s v="198.51.100.67"/>
        <s v="192.0.2.71"/>
        <s v="192.0.2.161"/>
        <s v="198.51.100.186"/>
        <s v="198.51.100.151"/>
        <s v="192.0.2.74"/>
        <s v="192.0.2.14"/>
        <s v="192.0.2.30"/>
        <s v="198.51.100.194"/>
        <s v="192.0.2.158"/>
        <s v="203.0.113.217"/>
        <s v="192.0.2.106"/>
        <s v="192.0.2.23"/>
        <s v="192.0.2.159"/>
        <s v="198.51.100.166"/>
        <s v="192.0.2.46"/>
        <s v="198.51.100.205"/>
        <s v="198.51.100.161"/>
        <s v="192.0.2.95"/>
        <s v="198.51.100.49"/>
        <s v="198.51.100.112"/>
        <s v="192.0.2.112"/>
        <s v="192.0.2.21"/>
        <s v="203.0.113.67"/>
        <s v="198.51.100.213"/>
        <s v="203.0.113.143"/>
        <s v="198.51.100.27"/>
        <s v="203.0.113.189"/>
        <s v="203.0.113.122"/>
        <s v="198.51.100.100"/>
        <s v="192.0.2.226"/>
        <s v="198.51.100.193"/>
        <s v="192.0.2.38"/>
        <s v="203.0.113.230"/>
        <s v="198.51.100.53"/>
        <s v="203.0.113.250"/>
        <s v="198.51.100.110"/>
        <s v="192.0.2.155"/>
        <s v="198.51.100.165"/>
        <s v="203.0.113.219"/>
      </sharedItems>
    </cacheField>
    <cacheField name="application_name" numFmtId="0">
      <sharedItems/>
    </cacheField>
    <cacheField name="authentication_method" numFmtId="0">
      <sharedItems/>
    </cacheField>
    <cacheField name="authentication_result" numFmtId="0">
      <sharedItems count="2">
        <s v="Success"/>
        <s v="Invalid Password"/>
      </sharedItems>
    </cacheField>
    <cacheField name="organization_id" numFmtId="0">
      <sharedItems containsSemiMixedTypes="0" containsString="0" containsNumber="1" containsInteger="1" minValue="2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n v="17"/>
    <n v="17"/>
    <n v="0"/>
    <x v="0"/>
  </r>
  <r>
    <x v="0"/>
    <x v="1"/>
    <n v="471"/>
    <n v="428"/>
    <n v="43"/>
    <x v="1"/>
  </r>
  <r>
    <x v="0"/>
    <x v="2"/>
    <n v="502"/>
    <n v="451"/>
    <n v="51"/>
    <x v="2"/>
  </r>
  <r>
    <x v="0"/>
    <x v="3"/>
    <n v="492"/>
    <n v="439"/>
    <n v="53"/>
    <x v="3"/>
  </r>
  <r>
    <x v="0"/>
    <x v="4"/>
    <n v="573"/>
    <n v="522"/>
    <n v="51"/>
    <x v="4"/>
  </r>
  <r>
    <x v="0"/>
    <x v="5"/>
    <n v="562"/>
    <n v="513"/>
    <n v="49"/>
    <x v="5"/>
  </r>
  <r>
    <x v="0"/>
    <x v="6"/>
    <n v="494"/>
    <n v="451"/>
    <n v="43"/>
    <x v="6"/>
  </r>
  <r>
    <x v="0"/>
    <x v="7"/>
    <n v="536"/>
    <n v="477"/>
    <n v="59"/>
    <x v="7"/>
  </r>
  <r>
    <x v="0"/>
    <x v="8"/>
    <n v="604"/>
    <n v="556"/>
    <n v="48"/>
    <x v="8"/>
  </r>
  <r>
    <x v="0"/>
    <x v="9"/>
    <n v="334"/>
    <n v="302"/>
    <n v="32"/>
    <x v="9"/>
  </r>
  <r>
    <x v="1"/>
    <x v="0"/>
    <n v="10"/>
    <n v="8"/>
    <n v="2"/>
    <x v="10"/>
  </r>
  <r>
    <x v="1"/>
    <x v="1"/>
    <n v="504"/>
    <n v="474"/>
    <n v="30"/>
    <x v="11"/>
  </r>
  <r>
    <x v="1"/>
    <x v="2"/>
    <n v="470"/>
    <n v="422"/>
    <n v="48"/>
    <x v="12"/>
  </r>
  <r>
    <x v="1"/>
    <x v="3"/>
    <n v="425"/>
    <n v="386"/>
    <n v="39"/>
    <x v="13"/>
  </r>
  <r>
    <x v="1"/>
    <x v="4"/>
    <n v="456"/>
    <n v="415"/>
    <n v="41"/>
    <x v="14"/>
  </r>
  <r>
    <x v="1"/>
    <x v="5"/>
    <n v="438"/>
    <n v="404"/>
    <n v="34"/>
    <x v="15"/>
  </r>
  <r>
    <x v="1"/>
    <x v="6"/>
    <n v="470"/>
    <n v="429"/>
    <n v="41"/>
    <x v="16"/>
  </r>
  <r>
    <x v="1"/>
    <x v="7"/>
    <n v="481"/>
    <n v="441"/>
    <n v="40"/>
    <x v="17"/>
  </r>
  <r>
    <x v="1"/>
    <x v="8"/>
    <n v="472"/>
    <n v="390"/>
    <n v="82"/>
    <x v="18"/>
  </r>
  <r>
    <x v="1"/>
    <x v="9"/>
    <n v="252"/>
    <n v="224"/>
    <n v="28"/>
    <x v="19"/>
  </r>
  <r>
    <x v="2"/>
    <x v="0"/>
    <n v="5"/>
    <n v="5"/>
    <n v="0"/>
    <x v="0"/>
  </r>
  <r>
    <x v="2"/>
    <x v="1"/>
    <n v="302"/>
    <n v="273"/>
    <n v="29"/>
    <x v="20"/>
  </r>
  <r>
    <x v="2"/>
    <x v="2"/>
    <n v="344"/>
    <n v="318"/>
    <n v="26"/>
    <x v="21"/>
  </r>
  <r>
    <x v="2"/>
    <x v="3"/>
    <n v="344"/>
    <n v="319"/>
    <n v="25"/>
    <x v="22"/>
  </r>
  <r>
    <x v="2"/>
    <x v="4"/>
    <n v="335"/>
    <n v="311"/>
    <n v="24"/>
    <x v="23"/>
  </r>
  <r>
    <x v="2"/>
    <x v="5"/>
    <n v="297"/>
    <n v="272"/>
    <n v="25"/>
    <x v="24"/>
  </r>
  <r>
    <x v="2"/>
    <x v="6"/>
    <n v="341"/>
    <n v="298"/>
    <n v="43"/>
    <x v="25"/>
  </r>
  <r>
    <x v="2"/>
    <x v="7"/>
    <n v="341"/>
    <n v="326"/>
    <n v="15"/>
    <x v="26"/>
  </r>
  <r>
    <x v="2"/>
    <x v="8"/>
    <n v="324"/>
    <n v="305"/>
    <n v="19"/>
    <x v="27"/>
  </r>
  <r>
    <x v="2"/>
    <x v="9"/>
    <n v="219"/>
    <n v="205"/>
    <n v="14"/>
    <x v="28"/>
  </r>
  <r>
    <x v="3"/>
    <x v="0"/>
    <n v="5"/>
    <n v="5"/>
    <n v="0"/>
    <x v="0"/>
  </r>
  <r>
    <x v="3"/>
    <x v="1"/>
    <n v="316"/>
    <n v="288"/>
    <n v="28"/>
    <x v="29"/>
  </r>
  <r>
    <x v="3"/>
    <x v="2"/>
    <n v="362"/>
    <n v="342"/>
    <n v="20"/>
    <x v="30"/>
  </r>
  <r>
    <x v="3"/>
    <x v="3"/>
    <n v="348"/>
    <n v="320"/>
    <n v="28"/>
    <x v="31"/>
  </r>
  <r>
    <x v="3"/>
    <x v="4"/>
    <n v="340"/>
    <n v="303"/>
    <n v="37"/>
    <x v="32"/>
  </r>
  <r>
    <x v="3"/>
    <x v="5"/>
    <n v="371"/>
    <n v="352"/>
    <n v="19"/>
    <x v="33"/>
  </r>
  <r>
    <x v="3"/>
    <x v="6"/>
    <n v="344"/>
    <n v="308"/>
    <n v="36"/>
    <x v="34"/>
  </r>
  <r>
    <x v="3"/>
    <x v="7"/>
    <n v="343"/>
    <n v="313"/>
    <n v="30"/>
    <x v="35"/>
  </r>
  <r>
    <x v="3"/>
    <x v="8"/>
    <n v="348"/>
    <n v="317"/>
    <n v="31"/>
    <x v="36"/>
  </r>
  <r>
    <x v="3"/>
    <x v="9"/>
    <n v="214"/>
    <n v="195"/>
    <n v="19"/>
    <x v="37"/>
  </r>
  <r>
    <x v="4"/>
    <x v="0"/>
    <n v="5"/>
    <n v="4"/>
    <n v="1"/>
    <x v="10"/>
  </r>
  <r>
    <x v="4"/>
    <x v="1"/>
    <n v="224"/>
    <n v="214"/>
    <n v="10"/>
    <x v="38"/>
  </r>
  <r>
    <x v="4"/>
    <x v="2"/>
    <n v="196"/>
    <n v="177"/>
    <n v="19"/>
    <x v="39"/>
  </r>
  <r>
    <x v="4"/>
    <x v="3"/>
    <n v="209"/>
    <n v="199"/>
    <n v="10"/>
    <x v="40"/>
  </r>
  <r>
    <x v="4"/>
    <x v="4"/>
    <n v="168"/>
    <n v="147"/>
    <n v="21"/>
    <x v="41"/>
  </r>
  <r>
    <x v="4"/>
    <x v="5"/>
    <n v="203"/>
    <n v="184"/>
    <n v="19"/>
    <x v="42"/>
  </r>
  <r>
    <x v="4"/>
    <x v="6"/>
    <n v="207"/>
    <n v="182"/>
    <n v="25"/>
    <x v="43"/>
  </r>
  <r>
    <x v="4"/>
    <x v="7"/>
    <n v="199"/>
    <n v="174"/>
    <n v="25"/>
    <x v="44"/>
  </r>
  <r>
    <x v="4"/>
    <x v="8"/>
    <n v="207"/>
    <n v="188"/>
    <n v="19"/>
    <x v="45"/>
  </r>
  <r>
    <x v="4"/>
    <x v="9"/>
    <n v="137"/>
    <n v="125"/>
    <n v="12"/>
    <x v="46"/>
  </r>
  <r>
    <x v="5"/>
    <x v="0"/>
    <n v="2"/>
    <n v="2"/>
    <n v="0"/>
    <x v="0"/>
  </r>
  <r>
    <x v="5"/>
    <x v="1"/>
    <n v="233"/>
    <n v="208"/>
    <n v="25"/>
    <x v="47"/>
  </r>
  <r>
    <x v="5"/>
    <x v="2"/>
    <n v="206"/>
    <n v="189"/>
    <n v="17"/>
    <x v="48"/>
  </r>
  <r>
    <x v="5"/>
    <x v="3"/>
    <n v="241"/>
    <n v="223"/>
    <n v="18"/>
    <x v="49"/>
  </r>
  <r>
    <x v="5"/>
    <x v="4"/>
    <n v="230"/>
    <n v="204"/>
    <n v="26"/>
    <x v="50"/>
  </r>
  <r>
    <x v="5"/>
    <x v="5"/>
    <n v="212"/>
    <n v="198"/>
    <n v="14"/>
    <x v="51"/>
  </r>
  <r>
    <x v="5"/>
    <x v="6"/>
    <n v="239"/>
    <n v="216"/>
    <n v="23"/>
    <x v="52"/>
  </r>
  <r>
    <x v="5"/>
    <x v="7"/>
    <n v="213"/>
    <n v="204"/>
    <n v="9"/>
    <x v="53"/>
  </r>
  <r>
    <x v="5"/>
    <x v="8"/>
    <n v="262"/>
    <n v="240"/>
    <n v="22"/>
    <x v="54"/>
  </r>
  <r>
    <x v="5"/>
    <x v="9"/>
    <n v="149"/>
    <n v="135"/>
    <n v="14"/>
    <x v="55"/>
  </r>
  <r>
    <x v="6"/>
    <x v="0"/>
    <n v="7"/>
    <n v="5"/>
    <n v="2"/>
    <x v="56"/>
  </r>
  <r>
    <x v="6"/>
    <x v="1"/>
    <n v="391"/>
    <n v="354"/>
    <n v="37"/>
    <x v="57"/>
  </r>
  <r>
    <x v="6"/>
    <x v="2"/>
    <n v="404"/>
    <n v="366"/>
    <n v="38"/>
    <x v="58"/>
  </r>
  <r>
    <x v="6"/>
    <x v="3"/>
    <n v="407"/>
    <n v="370"/>
    <n v="37"/>
    <x v="59"/>
  </r>
  <r>
    <x v="6"/>
    <x v="4"/>
    <n v="391"/>
    <n v="366"/>
    <n v="25"/>
    <x v="60"/>
  </r>
  <r>
    <x v="6"/>
    <x v="5"/>
    <n v="400"/>
    <n v="363"/>
    <n v="37"/>
    <x v="61"/>
  </r>
  <r>
    <x v="6"/>
    <x v="6"/>
    <n v="408"/>
    <n v="372"/>
    <n v="36"/>
    <x v="62"/>
  </r>
  <r>
    <x v="6"/>
    <x v="7"/>
    <n v="422"/>
    <n v="384"/>
    <n v="38"/>
    <x v="63"/>
  </r>
  <r>
    <x v="6"/>
    <x v="8"/>
    <n v="408"/>
    <n v="370"/>
    <n v="38"/>
    <x v="64"/>
  </r>
  <r>
    <x v="6"/>
    <x v="9"/>
    <n v="257"/>
    <n v="233"/>
    <n v="24"/>
    <x v="65"/>
  </r>
  <r>
    <x v="7"/>
    <x v="0"/>
    <n v="3"/>
    <n v="2"/>
    <n v="1"/>
    <x v="66"/>
  </r>
  <r>
    <x v="7"/>
    <x v="1"/>
    <n v="183"/>
    <n v="166"/>
    <n v="17"/>
    <x v="67"/>
  </r>
  <r>
    <x v="7"/>
    <x v="2"/>
    <n v="188"/>
    <n v="172"/>
    <n v="16"/>
    <x v="68"/>
  </r>
  <r>
    <x v="7"/>
    <x v="3"/>
    <n v="189"/>
    <n v="173"/>
    <n v="16"/>
    <x v="69"/>
  </r>
  <r>
    <x v="7"/>
    <x v="4"/>
    <n v="193"/>
    <n v="178"/>
    <n v="15"/>
    <x v="70"/>
  </r>
  <r>
    <x v="7"/>
    <x v="5"/>
    <n v="192"/>
    <n v="169"/>
    <n v="23"/>
    <x v="71"/>
  </r>
  <r>
    <x v="7"/>
    <x v="6"/>
    <n v="170"/>
    <n v="155"/>
    <n v="15"/>
    <x v="62"/>
  </r>
  <r>
    <x v="7"/>
    <x v="7"/>
    <n v="205"/>
    <n v="187"/>
    <n v="18"/>
    <x v="72"/>
  </r>
  <r>
    <x v="7"/>
    <x v="8"/>
    <n v="163"/>
    <n v="149"/>
    <n v="14"/>
    <x v="73"/>
  </r>
  <r>
    <x v="7"/>
    <x v="9"/>
    <n v="140"/>
    <n v="129"/>
    <n v="11"/>
    <x v="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920288"/>
    <d v="2026-08-13T00:10:56"/>
    <n v="1057"/>
    <n v="5086"/>
    <x v="0"/>
    <s v="Google Workspace"/>
    <s v="Password"/>
    <x v="0"/>
    <n v="2"/>
  </r>
  <r>
    <n v="920262"/>
    <d v="2026-08-13T00:54:50"/>
    <n v="1046"/>
    <n v="5066"/>
    <x v="1"/>
    <s v="Salesforce"/>
    <s v="SSO"/>
    <x v="0"/>
    <n v="2"/>
  </r>
  <r>
    <n v="920273"/>
    <d v="2026-08-13T01:09:04"/>
    <n v="1050"/>
    <n v="5055"/>
    <x v="2"/>
    <s v="Google Workspace"/>
    <s v="Password"/>
    <x v="0"/>
    <n v="2"/>
  </r>
  <r>
    <n v="920295"/>
    <d v="2026-08-13T01:45:58"/>
    <n v="1062"/>
    <n v="5065"/>
    <x v="3"/>
    <s v="Workday"/>
    <s v="OAuth"/>
    <x v="0"/>
    <n v="2"/>
  </r>
  <r>
    <n v="920283"/>
    <d v="2026-08-13T02:12:24"/>
    <n v="1056"/>
    <n v="5066"/>
    <x v="4"/>
    <s v="GitHub Enterprise"/>
    <s v="Passkey"/>
    <x v="0"/>
    <n v="2"/>
  </r>
  <r>
    <n v="920311"/>
    <d v="2026-08-13T02:14:55"/>
    <n v="1073"/>
    <n v="5057"/>
    <x v="5"/>
    <s v="Microsoft 365"/>
    <s v="OAuth"/>
    <x v="0"/>
    <n v="2"/>
  </r>
  <r>
    <n v="920264"/>
    <d v="2026-08-13T02:31:23"/>
    <n v="1046"/>
    <n v="5059"/>
    <x v="6"/>
    <s v="VPN Portal"/>
    <s v="SSO"/>
    <x v="0"/>
    <n v="2"/>
  </r>
  <r>
    <n v="920308"/>
    <d v="2026-08-13T02:35:20"/>
    <n v="1071"/>
    <n v="5067"/>
    <x v="7"/>
    <s v="Microsoft 365"/>
    <s v="SSO"/>
    <x v="0"/>
    <n v="2"/>
  </r>
  <r>
    <n v="920286"/>
    <d v="2026-08-13T02:39:38"/>
    <n v="1056"/>
    <n v="5068"/>
    <x v="8"/>
    <s v="VPN Portal"/>
    <s v="Passkey"/>
    <x v="0"/>
    <n v="2"/>
  </r>
  <r>
    <n v="920305"/>
    <d v="2026-08-13T03:21:27"/>
    <n v="1068"/>
    <n v="5074"/>
    <x v="9"/>
    <s v="VPN Portal"/>
    <s v="Password"/>
    <x v="0"/>
    <n v="2"/>
  </r>
  <r>
    <n v="920269"/>
    <d v="2026-08-13T03:21:55"/>
    <n v="1048"/>
    <n v="5081"/>
    <x v="10"/>
    <s v="VPN Portal"/>
    <s v="MFA Push"/>
    <x v="0"/>
    <n v="2"/>
  </r>
  <r>
    <n v="920294"/>
    <d v="2026-08-13T03:28:56"/>
    <n v="1062"/>
    <n v="5072"/>
    <x v="11"/>
    <s v="Google Workspace"/>
    <s v="Password"/>
    <x v="0"/>
    <n v="2"/>
  </r>
  <r>
    <n v="920277"/>
    <d v="2026-08-13T03:29:10"/>
    <n v="1051"/>
    <n v="5072"/>
    <x v="12"/>
    <s v="Salesforce"/>
    <s v="MFA Push"/>
    <x v="0"/>
    <n v="2"/>
  </r>
  <r>
    <n v="920280"/>
    <d v="2026-08-13T03:44:19"/>
    <n v="1051"/>
    <n v="5090"/>
    <x v="13"/>
    <s v="Workday"/>
    <s v="SSO"/>
    <x v="0"/>
    <n v="2"/>
  </r>
  <r>
    <n v="920293"/>
    <d v="2026-08-13T03:58:21"/>
    <n v="1062"/>
    <n v="5080"/>
    <x v="14"/>
    <s v="Slack"/>
    <s v="MFA Push"/>
    <x v="0"/>
    <n v="2"/>
  </r>
  <r>
    <n v="920303"/>
    <d v="2026-08-13T04:11:27"/>
    <n v="1067"/>
    <n v="5071"/>
    <x v="15"/>
    <s v="Workday"/>
    <s v="OAuth"/>
    <x v="0"/>
    <n v="2"/>
  </r>
  <r>
    <n v="920312"/>
    <d v="2026-08-13T04:18:06"/>
    <n v="1073"/>
    <n v="5070"/>
    <x v="16"/>
    <s v="ServiceNow"/>
    <s v="SSO"/>
    <x v="0"/>
    <n v="2"/>
  </r>
  <r>
    <n v="920292"/>
    <d v="2026-08-13T04:22:39"/>
    <n v="1061"/>
    <n v="5053"/>
    <x v="17"/>
    <s v="Slack"/>
    <s v="Passkey"/>
    <x v="0"/>
    <n v="2"/>
  </r>
  <r>
    <n v="920306"/>
    <d v="2026-08-13T04:26:17"/>
    <n v="1070"/>
    <n v="5086"/>
    <x v="18"/>
    <s v="Google Workspace"/>
    <s v="Passkey"/>
    <x v="0"/>
    <n v="2"/>
  </r>
  <r>
    <n v="920287"/>
    <d v="2026-08-13T04:33:24"/>
    <n v="1057"/>
    <n v="5076"/>
    <x v="19"/>
    <s v="Workday"/>
    <s v="SSO"/>
    <x v="0"/>
    <n v="2"/>
  </r>
  <r>
    <n v="920304"/>
    <d v="2026-08-13T04:57:50"/>
    <n v="1067"/>
    <n v="5060"/>
    <x v="20"/>
    <s v="Google Workspace"/>
    <s v="SSO"/>
    <x v="0"/>
    <n v="2"/>
  </r>
  <r>
    <n v="920301"/>
    <d v="2026-08-13T05:00:42"/>
    <n v="1066"/>
    <n v="5088"/>
    <x v="21"/>
    <s v="ServiceNow"/>
    <s v="SSO"/>
    <x v="0"/>
    <n v="2"/>
  </r>
  <r>
    <n v="920319"/>
    <d v="2026-08-13T05:01:37"/>
    <n v="1077"/>
    <n v="5081"/>
    <x v="22"/>
    <s v="Slack"/>
    <s v="Passkey"/>
    <x v="0"/>
    <n v="2"/>
  </r>
  <r>
    <n v="920281"/>
    <d v="2026-08-13T05:10:37"/>
    <n v="1053"/>
    <n v="5072"/>
    <x v="23"/>
    <s v="Google Workspace"/>
    <s v="Password"/>
    <x v="0"/>
    <n v="2"/>
  </r>
  <r>
    <n v="920299"/>
    <d v="2026-08-13T05:19:16"/>
    <n v="1065"/>
    <n v="5074"/>
    <x v="24"/>
    <s v="Slack"/>
    <s v="Password"/>
    <x v="0"/>
    <n v="2"/>
  </r>
  <r>
    <n v="920297"/>
    <d v="2026-08-13T05:26:04"/>
    <n v="1065"/>
    <n v="5066"/>
    <x v="25"/>
    <s v="Microsoft 365"/>
    <s v="OAuth"/>
    <x v="0"/>
    <n v="2"/>
  </r>
  <r>
    <n v="920285"/>
    <d v="2026-08-13T05:45:08"/>
    <n v="1056"/>
    <n v="5057"/>
    <x v="26"/>
    <s v="VPN Portal"/>
    <s v="SSO"/>
    <x v="0"/>
    <n v="2"/>
  </r>
  <r>
    <n v="920275"/>
    <d v="2026-08-13T05:45:44"/>
    <n v="1050"/>
    <n v="5064"/>
    <x v="27"/>
    <s v="Workday"/>
    <s v="Passkey"/>
    <x v="0"/>
    <n v="2"/>
  </r>
  <r>
    <n v="920260"/>
    <d v="2026-08-13T05:57:35"/>
    <n v="1044"/>
    <n v="5089"/>
    <x v="28"/>
    <s v="Internal Admin Portal"/>
    <s v="SSO"/>
    <x v="0"/>
    <n v="2"/>
  </r>
  <r>
    <n v="920284"/>
    <d v="2026-08-13T06:02:50"/>
    <n v="1056"/>
    <n v="5087"/>
    <x v="29"/>
    <s v="Internal Admin Portal"/>
    <s v="OAuth"/>
    <x v="0"/>
    <n v="2"/>
  </r>
  <r>
    <n v="920310"/>
    <d v="2026-08-13T06:17:51"/>
    <n v="1072"/>
    <n v="5061"/>
    <x v="30"/>
    <s v="VPN Portal"/>
    <s v="SSO"/>
    <x v="0"/>
    <n v="2"/>
  </r>
  <r>
    <n v="920268"/>
    <d v="2026-08-13T06:25:11"/>
    <n v="1048"/>
    <n v="5065"/>
    <x v="31"/>
    <s v="GitHub Enterprise"/>
    <s v="MFA Push"/>
    <x v="0"/>
    <n v="2"/>
  </r>
  <r>
    <n v="920314"/>
    <d v="2026-08-13T06:26:12"/>
    <n v="1075"/>
    <n v="5088"/>
    <x v="32"/>
    <s v="Microsoft 365"/>
    <s v="MFA Push"/>
    <x v="0"/>
    <n v="2"/>
  </r>
  <r>
    <n v="920265"/>
    <d v="2026-08-13T06:37:56"/>
    <n v="1046"/>
    <n v="5084"/>
    <x v="33"/>
    <s v="GitHub Enterprise"/>
    <s v="Passkey"/>
    <x v="0"/>
    <n v="2"/>
  </r>
  <r>
    <n v="920307"/>
    <d v="2026-08-13T06:46:13"/>
    <n v="1070"/>
    <n v="5081"/>
    <x v="34"/>
    <s v="Workday"/>
    <s v="Password"/>
    <x v="1"/>
    <n v="2"/>
  </r>
  <r>
    <n v="920279"/>
    <d v="2026-08-13T06:54:22"/>
    <n v="1051"/>
    <n v="5090"/>
    <x v="35"/>
    <s v="AWS Console"/>
    <s v="MFA Push"/>
    <x v="0"/>
    <n v="2"/>
  </r>
  <r>
    <n v="920261"/>
    <d v="2026-08-13T07:05:04"/>
    <n v="1045"/>
    <n v="5066"/>
    <x v="36"/>
    <s v="Microsoft 365"/>
    <s v="MFA Push"/>
    <x v="0"/>
    <n v="2"/>
  </r>
  <r>
    <n v="920266"/>
    <d v="2026-08-13T07:21:59"/>
    <n v="1046"/>
    <n v="5075"/>
    <x v="37"/>
    <s v="Slack"/>
    <s v="Passkey"/>
    <x v="0"/>
    <n v="2"/>
  </r>
  <r>
    <n v="920290"/>
    <d v="2026-08-13T07:36:05"/>
    <n v="1059"/>
    <n v="5070"/>
    <x v="38"/>
    <s v="Slack"/>
    <s v="SSO"/>
    <x v="0"/>
    <n v="2"/>
  </r>
  <r>
    <n v="920278"/>
    <d v="2026-08-13T07:36:32"/>
    <n v="1051"/>
    <n v="5089"/>
    <x v="39"/>
    <s v="Google Workspace"/>
    <s v="OAuth"/>
    <x v="0"/>
    <n v="2"/>
  </r>
  <r>
    <n v="920291"/>
    <d v="2026-08-13T07:56:46"/>
    <n v="1060"/>
    <n v="5055"/>
    <x v="40"/>
    <s v="ServiceNow"/>
    <s v="MFA Push"/>
    <x v="0"/>
    <n v="2"/>
  </r>
  <r>
    <n v="920316"/>
    <d v="2026-08-13T08:08:34"/>
    <n v="1075"/>
    <n v="5084"/>
    <x v="41"/>
    <s v="Slack"/>
    <s v="Password"/>
    <x v="0"/>
    <n v="2"/>
  </r>
  <r>
    <n v="920317"/>
    <d v="2026-08-13T08:15:19"/>
    <n v="1076"/>
    <n v="5056"/>
    <x v="42"/>
    <s v="ServiceNow"/>
    <s v="MFA Push"/>
    <x v="1"/>
    <n v="2"/>
  </r>
  <r>
    <n v="920296"/>
    <d v="2026-08-13T08:46:18"/>
    <n v="1064"/>
    <n v="5087"/>
    <x v="43"/>
    <s v="Internal Admin Portal"/>
    <s v="SSO"/>
    <x v="0"/>
    <n v="2"/>
  </r>
  <r>
    <n v="920263"/>
    <d v="2026-08-13T09:00:51"/>
    <n v="1046"/>
    <n v="5093"/>
    <x v="44"/>
    <s v="GitHub Enterprise"/>
    <s v="Password"/>
    <x v="0"/>
    <n v="2"/>
  </r>
  <r>
    <n v="920313"/>
    <d v="2026-08-13T09:19:24"/>
    <n v="1074"/>
    <n v="5068"/>
    <x v="45"/>
    <s v="VPN Portal"/>
    <s v="Password"/>
    <x v="0"/>
    <n v="2"/>
  </r>
  <r>
    <n v="920320"/>
    <d v="2026-08-13T09:54:58"/>
    <n v="1077"/>
    <n v="5092"/>
    <x v="46"/>
    <s v="ServiceNow"/>
    <s v="Password"/>
    <x v="0"/>
    <n v="2"/>
  </r>
  <r>
    <n v="920267"/>
    <d v="2026-08-13T10:22:02"/>
    <n v="1047"/>
    <n v="5070"/>
    <x v="47"/>
    <s v="Microsoft 365"/>
    <s v="Password"/>
    <x v="0"/>
    <n v="2"/>
  </r>
  <r>
    <n v="920315"/>
    <d v="2026-08-13T10:29:01"/>
    <n v="1075"/>
    <n v="5066"/>
    <x v="48"/>
    <s v="AWS Console"/>
    <s v="SSO"/>
    <x v="0"/>
    <n v="2"/>
  </r>
  <r>
    <n v="920298"/>
    <d v="2026-08-13T10:31:02"/>
    <n v="1065"/>
    <n v="5068"/>
    <x v="49"/>
    <s v="GitHub Enterprise"/>
    <s v="SSO"/>
    <x v="0"/>
    <n v="2"/>
  </r>
  <r>
    <n v="920276"/>
    <d v="2026-08-13T10:36:42"/>
    <n v="1051"/>
    <n v="5086"/>
    <x v="50"/>
    <s v="Microsoft 365"/>
    <s v="Password"/>
    <x v="0"/>
    <n v="2"/>
  </r>
  <r>
    <n v="920272"/>
    <d v="2026-08-13T10:57:42"/>
    <n v="1048"/>
    <n v="5074"/>
    <x v="51"/>
    <s v="Microsoft 365"/>
    <s v="Passkey"/>
    <x v="0"/>
    <n v="2"/>
  </r>
  <r>
    <n v="920302"/>
    <d v="2026-08-13T12:17:39"/>
    <n v="1067"/>
    <n v="5065"/>
    <x v="52"/>
    <s v="Internal Admin Portal"/>
    <s v="SSO"/>
    <x v="0"/>
    <n v="2"/>
  </r>
  <r>
    <n v="920259"/>
    <d v="2026-08-13T15:54:11"/>
    <n v="1043"/>
    <n v="5069"/>
    <x v="53"/>
    <s v="Salesforce"/>
    <s v="Passkey"/>
    <x v="0"/>
    <n v="2"/>
  </r>
  <r>
    <n v="920731"/>
    <d v="2026-08-13T17:52:11"/>
    <n v="1063"/>
    <n v="5092"/>
    <x v="54"/>
    <s v="VPN Portal"/>
    <s v="Password"/>
    <x v="0"/>
    <n v="2"/>
  </r>
  <r>
    <n v="920725"/>
    <d v="2026-08-13T19:02:18"/>
    <n v="1058"/>
    <n v="5061"/>
    <x v="55"/>
    <s v="Google Workspace"/>
    <s v="MFA Push"/>
    <x v="0"/>
    <n v="2"/>
  </r>
  <r>
    <n v="923247"/>
    <d v="2026-08-13T19:15:22"/>
    <n v="1067"/>
    <m/>
    <x v="56"/>
    <s v="VPN Portal"/>
    <s v="Password"/>
    <x v="1"/>
    <n v="2"/>
  </r>
  <r>
    <n v="923216"/>
    <d v="2026-08-13T19:15:36"/>
    <n v="1073"/>
    <m/>
    <x v="56"/>
    <s v="VPN Portal"/>
    <s v="Password"/>
    <x v="1"/>
    <n v="2"/>
  </r>
  <r>
    <n v="923219"/>
    <d v="2026-08-13T19:15:44"/>
    <n v="1050"/>
    <m/>
    <x v="56"/>
    <s v="VPN Portal"/>
    <s v="Password"/>
    <x v="1"/>
    <n v="2"/>
  </r>
  <r>
    <n v="923248"/>
    <d v="2026-08-13T19:15:56"/>
    <n v="1067"/>
    <m/>
    <x v="56"/>
    <s v="VPN Portal"/>
    <s v="Password"/>
    <x v="1"/>
    <n v="2"/>
  </r>
  <r>
    <n v="923256"/>
    <d v="2026-08-13T19:16:01"/>
    <n v="1056"/>
    <m/>
    <x v="56"/>
    <s v="VPN Portal"/>
    <s v="Password"/>
    <x v="1"/>
    <n v="2"/>
  </r>
  <r>
    <n v="923217"/>
    <d v="2026-08-13T19:17:01"/>
    <n v="1073"/>
    <m/>
    <x v="56"/>
    <s v="VPN Portal"/>
    <s v="Password"/>
    <x v="1"/>
    <n v="2"/>
  </r>
  <r>
    <n v="923207"/>
    <d v="2026-08-13T19:17:48"/>
    <n v="1076"/>
    <m/>
    <x v="56"/>
    <s v="VPN Portal"/>
    <s v="Password"/>
    <x v="1"/>
    <n v="2"/>
  </r>
  <r>
    <n v="923249"/>
    <d v="2026-08-13T19:17:56"/>
    <n v="1067"/>
    <m/>
    <x v="56"/>
    <s v="VPN Portal"/>
    <s v="Password"/>
    <x v="1"/>
    <n v="2"/>
  </r>
  <r>
    <n v="923212"/>
    <d v="2026-08-13T19:18:02"/>
    <n v="1060"/>
    <m/>
    <x v="56"/>
    <s v="VPN Portal"/>
    <s v="Password"/>
    <x v="1"/>
    <n v="2"/>
  </r>
  <r>
    <n v="923255"/>
    <d v="2026-08-13T19:19:32"/>
    <n v="1056"/>
    <m/>
    <x v="56"/>
    <s v="VPN Portal"/>
    <s v="Password"/>
    <x v="1"/>
    <n v="2"/>
  </r>
  <r>
    <n v="923218"/>
    <d v="2026-08-13T19:19:42"/>
    <n v="1073"/>
    <m/>
    <x v="56"/>
    <s v="VPN Portal"/>
    <s v="Password"/>
    <x v="1"/>
    <n v="2"/>
  </r>
  <r>
    <n v="923251"/>
    <d v="2026-08-13T19:19:44"/>
    <n v="1064"/>
    <m/>
    <x v="56"/>
    <s v="VPN Portal"/>
    <s v="Password"/>
    <x v="1"/>
    <n v="2"/>
  </r>
  <r>
    <n v="923211"/>
    <d v="2026-08-13T19:20:12"/>
    <n v="1060"/>
    <m/>
    <x v="56"/>
    <s v="VPN Portal"/>
    <s v="Password"/>
    <x v="1"/>
    <n v="2"/>
  </r>
  <r>
    <n v="923230"/>
    <d v="2026-08-13T19:20:30"/>
    <n v="1071"/>
    <m/>
    <x v="56"/>
    <s v="VPN Portal"/>
    <s v="Password"/>
    <x v="1"/>
    <n v="2"/>
  </r>
  <r>
    <n v="923204"/>
    <d v="2026-08-13T19:20:44"/>
    <n v="1046"/>
    <m/>
    <x v="56"/>
    <s v="VPN Portal"/>
    <s v="Password"/>
    <x v="1"/>
    <n v="2"/>
  </r>
  <r>
    <n v="923214"/>
    <d v="2026-08-13T19:20:48"/>
    <n v="1060"/>
    <m/>
    <x v="56"/>
    <s v="VPN Portal"/>
    <s v="Password"/>
    <x v="1"/>
    <n v="2"/>
  </r>
  <r>
    <n v="923233"/>
    <d v="2026-08-13T19:20:59"/>
    <n v="1071"/>
    <m/>
    <x v="56"/>
    <s v="VPN Portal"/>
    <s v="Password"/>
    <x v="1"/>
    <n v="2"/>
  </r>
  <r>
    <n v="923221"/>
    <d v="2026-08-13T19:22:14"/>
    <n v="1050"/>
    <m/>
    <x v="56"/>
    <s v="VPN Portal"/>
    <s v="Password"/>
    <x v="1"/>
    <n v="2"/>
  </r>
  <r>
    <n v="923232"/>
    <d v="2026-08-13T19:22:38"/>
    <n v="1071"/>
    <m/>
    <x v="56"/>
    <s v="VPN Portal"/>
    <s v="Password"/>
    <x v="1"/>
    <n v="2"/>
  </r>
  <r>
    <n v="923224"/>
    <d v="2026-08-13T19:22:51"/>
    <n v="1052"/>
    <m/>
    <x v="56"/>
    <s v="VPN Portal"/>
    <s v="Password"/>
    <x v="1"/>
    <n v="2"/>
  </r>
  <r>
    <n v="923209"/>
    <d v="2026-08-13T19:23:22"/>
    <n v="1076"/>
    <m/>
    <x v="56"/>
    <s v="VPN Portal"/>
    <s v="Password"/>
    <x v="1"/>
    <n v="2"/>
  </r>
  <r>
    <n v="923252"/>
    <d v="2026-08-13T19:23:56"/>
    <n v="1064"/>
    <m/>
    <x v="56"/>
    <s v="VPN Portal"/>
    <s v="Password"/>
    <x v="1"/>
    <n v="2"/>
  </r>
  <r>
    <n v="923228"/>
    <d v="2026-08-13T19:24:24"/>
    <n v="1075"/>
    <m/>
    <x v="56"/>
    <s v="VPN Portal"/>
    <s v="Password"/>
    <x v="1"/>
    <n v="2"/>
  </r>
  <r>
    <n v="923231"/>
    <d v="2026-08-13T19:24:30"/>
    <n v="1071"/>
    <m/>
    <x v="56"/>
    <s v="VPN Portal"/>
    <s v="Password"/>
    <x v="1"/>
    <n v="2"/>
  </r>
  <r>
    <n v="923237"/>
    <d v="2026-08-13T19:24:40"/>
    <n v="1074"/>
    <m/>
    <x v="56"/>
    <s v="VPN Portal"/>
    <s v="Password"/>
    <x v="1"/>
    <n v="2"/>
  </r>
  <r>
    <n v="923227"/>
    <d v="2026-08-13T19:24:50"/>
    <n v="1075"/>
    <m/>
    <x v="56"/>
    <s v="VPN Portal"/>
    <s v="Password"/>
    <x v="1"/>
    <n v="2"/>
  </r>
  <r>
    <n v="923215"/>
    <d v="2026-08-13T19:24:58"/>
    <n v="1060"/>
    <m/>
    <x v="56"/>
    <s v="VPN Portal"/>
    <s v="Password"/>
    <x v="1"/>
    <n v="2"/>
  </r>
  <r>
    <n v="923234"/>
    <d v="2026-08-13T19:25:20"/>
    <n v="1059"/>
    <m/>
    <x v="56"/>
    <s v="VPN Portal"/>
    <s v="Password"/>
    <x v="1"/>
    <n v="2"/>
  </r>
  <r>
    <n v="923240"/>
    <d v="2026-08-13T19:25:47"/>
    <n v="1074"/>
    <m/>
    <x v="56"/>
    <s v="VPN Portal"/>
    <s v="Password"/>
    <x v="1"/>
    <n v="2"/>
  </r>
  <r>
    <n v="923220"/>
    <d v="2026-08-13T19:25:48"/>
    <n v="1050"/>
    <m/>
    <x v="56"/>
    <s v="VPN Portal"/>
    <s v="Password"/>
    <x v="1"/>
    <n v="2"/>
  </r>
  <r>
    <n v="923213"/>
    <d v="2026-08-13T19:26:19"/>
    <n v="1060"/>
    <m/>
    <x v="56"/>
    <s v="VPN Portal"/>
    <s v="Password"/>
    <x v="1"/>
    <n v="2"/>
  </r>
  <r>
    <n v="923225"/>
    <d v="2026-08-13T19:26:22"/>
    <n v="1052"/>
    <m/>
    <x v="56"/>
    <s v="VPN Portal"/>
    <s v="Password"/>
    <x v="1"/>
    <n v="2"/>
  </r>
  <r>
    <n v="923242"/>
    <d v="2026-08-13T19:27:24"/>
    <n v="1070"/>
    <m/>
    <x v="56"/>
    <s v="VPN Portal"/>
    <s v="Password"/>
    <x v="1"/>
    <n v="2"/>
  </r>
  <r>
    <n v="923235"/>
    <d v="2026-08-13T19:27:56"/>
    <n v="1059"/>
    <m/>
    <x v="56"/>
    <s v="VPN Portal"/>
    <s v="Password"/>
    <x v="1"/>
    <n v="2"/>
  </r>
  <r>
    <n v="923239"/>
    <d v="2026-08-13T19:28:06"/>
    <n v="1074"/>
    <m/>
    <x v="56"/>
    <s v="VPN Portal"/>
    <s v="Password"/>
    <x v="1"/>
    <n v="2"/>
  </r>
  <r>
    <n v="923226"/>
    <d v="2026-08-13T19:28:16"/>
    <n v="1052"/>
    <m/>
    <x v="56"/>
    <s v="VPN Portal"/>
    <s v="Password"/>
    <x v="1"/>
    <n v="2"/>
  </r>
  <r>
    <n v="923246"/>
    <d v="2026-08-13T19:28:36"/>
    <n v="1070"/>
    <m/>
    <x v="56"/>
    <s v="VPN Portal"/>
    <s v="Password"/>
    <x v="1"/>
    <n v="2"/>
  </r>
  <r>
    <n v="923236"/>
    <d v="2026-08-13T19:28:47"/>
    <n v="1059"/>
    <m/>
    <x v="56"/>
    <s v="VPN Portal"/>
    <s v="Password"/>
    <x v="1"/>
    <n v="2"/>
  </r>
  <r>
    <n v="923253"/>
    <d v="2026-08-13T19:29:01"/>
    <n v="1064"/>
    <m/>
    <x v="56"/>
    <s v="VPN Portal"/>
    <s v="Password"/>
    <x v="1"/>
    <n v="2"/>
  </r>
  <r>
    <n v="923254"/>
    <d v="2026-08-13T19:29:11"/>
    <n v="1056"/>
    <m/>
    <x v="56"/>
    <s v="VPN Portal"/>
    <s v="Password"/>
    <x v="1"/>
    <n v="2"/>
  </r>
  <r>
    <n v="923243"/>
    <d v="2026-08-13T19:29:26"/>
    <n v="1070"/>
    <m/>
    <x v="56"/>
    <s v="VPN Portal"/>
    <s v="Password"/>
    <x v="1"/>
    <n v="2"/>
  </r>
  <r>
    <n v="923238"/>
    <d v="2026-08-13T19:29:27"/>
    <n v="1074"/>
    <m/>
    <x v="56"/>
    <s v="VPN Portal"/>
    <s v="Password"/>
    <x v="1"/>
    <n v="2"/>
  </r>
  <r>
    <n v="923241"/>
    <d v="2026-08-13T19:29:37"/>
    <n v="1074"/>
    <m/>
    <x v="56"/>
    <s v="VPN Portal"/>
    <s v="Password"/>
    <x v="1"/>
    <n v="2"/>
  </r>
  <r>
    <n v="923245"/>
    <d v="2026-08-13T19:30:12"/>
    <n v="1070"/>
    <m/>
    <x v="56"/>
    <s v="VPN Portal"/>
    <s v="Password"/>
    <x v="1"/>
    <n v="2"/>
  </r>
  <r>
    <n v="923222"/>
    <d v="2026-08-13T19:30:21"/>
    <n v="1050"/>
    <m/>
    <x v="56"/>
    <s v="VPN Portal"/>
    <s v="Password"/>
    <x v="1"/>
    <n v="2"/>
  </r>
  <r>
    <n v="923250"/>
    <d v="2026-08-13T19:30:28"/>
    <n v="1067"/>
    <m/>
    <x v="56"/>
    <s v="VPN Portal"/>
    <s v="Password"/>
    <x v="1"/>
    <n v="2"/>
  </r>
  <r>
    <n v="923205"/>
    <d v="2026-08-13T19:30:30"/>
    <n v="1046"/>
    <m/>
    <x v="56"/>
    <s v="VPN Portal"/>
    <s v="Password"/>
    <x v="1"/>
    <n v="2"/>
  </r>
  <r>
    <n v="923257"/>
    <d v="2026-08-13T19:30:35"/>
    <n v="1056"/>
    <m/>
    <x v="56"/>
    <s v="VPN Portal"/>
    <s v="Password"/>
    <x v="1"/>
    <n v="2"/>
  </r>
  <r>
    <n v="923229"/>
    <d v="2026-08-13T19:30:50"/>
    <n v="1075"/>
    <m/>
    <x v="56"/>
    <s v="VPN Portal"/>
    <s v="Password"/>
    <x v="1"/>
    <n v="2"/>
  </r>
  <r>
    <n v="923208"/>
    <d v="2026-08-13T19:31:48"/>
    <n v="1076"/>
    <m/>
    <x v="56"/>
    <s v="VPN Portal"/>
    <s v="Password"/>
    <x v="1"/>
    <n v="2"/>
  </r>
  <r>
    <n v="923206"/>
    <d v="2026-08-13T19:32:04"/>
    <n v="1046"/>
    <m/>
    <x v="56"/>
    <s v="VPN Portal"/>
    <s v="Password"/>
    <x v="1"/>
    <n v="2"/>
  </r>
  <r>
    <n v="923244"/>
    <d v="2026-08-13T19:32:14"/>
    <n v="1070"/>
    <m/>
    <x v="56"/>
    <s v="VPN Portal"/>
    <s v="Password"/>
    <x v="1"/>
    <n v="2"/>
  </r>
  <r>
    <n v="923210"/>
    <d v="2026-08-13T19:33:40"/>
    <n v="1076"/>
    <m/>
    <x v="56"/>
    <s v="VPN Portal"/>
    <s v="Password"/>
    <x v="1"/>
    <n v="2"/>
  </r>
  <r>
    <n v="923223"/>
    <d v="2026-08-13T19:33:59"/>
    <n v="1050"/>
    <m/>
    <x v="56"/>
    <s v="VPN Portal"/>
    <s v="Password"/>
    <x v="1"/>
    <n v="2"/>
  </r>
  <r>
    <n v="920770"/>
    <d v="2026-08-13T20:06:43"/>
    <n v="1077"/>
    <n v="5086"/>
    <x v="51"/>
    <s v="VPN Portal"/>
    <s v="OAuth"/>
    <x v="0"/>
    <n v="2"/>
  </r>
  <r>
    <n v="920748"/>
    <d v="2026-08-13T20:23:53"/>
    <n v="1069"/>
    <n v="5085"/>
    <x v="57"/>
    <s v="Internal Admin Portal"/>
    <s v="Password"/>
    <x v="0"/>
    <n v="2"/>
  </r>
  <r>
    <n v="920750"/>
    <d v="2026-08-13T20:46:36"/>
    <n v="1070"/>
    <n v="5074"/>
    <x v="58"/>
    <s v="Salesforce"/>
    <s v="SSO"/>
    <x v="0"/>
    <n v="2"/>
  </r>
  <r>
    <n v="920753"/>
    <d v="2026-08-13T21:25:26"/>
    <n v="1072"/>
    <n v="5076"/>
    <x v="59"/>
    <s v="Microsoft 365"/>
    <s v="MFA Push"/>
    <x v="0"/>
    <n v="2"/>
  </r>
  <r>
    <n v="920706"/>
    <d v="2026-08-13T22:00:44"/>
    <n v="1051"/>
    <n v="5059"/>
    <x v="60"/>
    <s v="VPN Portal"/>
    <s v="SSO"/>
    <x v="0"/>
    <n v="2"/>
  </r>
  <r>
    <n v="920701"/>
    <d v="2026-08-13T23:17:29"/>
    <n v="1048"/>
    <n v="5095"/>
    <x v="33"/>
    <s v="VPN Portal"/>
    <s v="SSO"/>
    <x v="0"/>
    <n v="2"/>
  </r>
  <r>
    <n v="920726"/>
    <d v="2026-08-13T23:39:49"/>
    <n v="1060"/>
    <n v="5095"/>
    <x v="30"/>
    <s v="Internal Admin Portal"/>
    <s v="MFA Push"/>
    <x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0DC581-7551-445E-819B-4AAD3DC2013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J15" firstHeaderRow="1" firstDataRow="2" firstDataCol="1" rowPageCount="1" colPageCount="1"/>
  <pivotFields count="6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axis="axisPage" dataField="1" showAll="0">
      <items count="76">
        <item x="0"/>
        <item x="53"/>
        <item x="26"/>
        <item x="38"/>
        <item x="40"/>
        <item x="33"/>
        <item x="30"/>
        <item x="27"/>
        <item x="11"/>
        <item x="28"/>
        <item x="60"/>
        <item x="51"/>
        <item x="23"/>
        <item x="22"/>
        <item x="49"/>
        <item x="21"/>
        <item x="15"/>
        <item x="70"/>
        <item x="74"/>
        <item x="8"/>
        <item x="31"/>
        <item x="48"/>
        <item x="17"/>
        <item x="54"/>
        <item x="24"/>
        <item x="69"/>
        <item x="68"/>
        <item x="73"/>
        <item x="6"/>
        <item x="5"/>
        <item x="16"/>
        <item x="35"/>
        <item x="46"/>
        <item x="72"/>
        <item x="62"/>
        <item x="29"/>
        <item x="37"/>
        <item x="4"/>
        <item x="36"/>
        <item x="14"/>
        <item x="63"/>
        <item x="59"/>
        <item x="1"/>
        <item x="13"/>
        <item x="45"/>
        <item x="61"/>
        <item x="67"/>
        <item x="64"/>
        <item x="65"/>
        <item x="42"/>
        <item x="55"/>
        <item x="58"/>
        <item x="57"/>
        <item x="9"/>
        <item x="20"/>
        <item x="52"/>
        <item x="39"/>
        <item x="2"/>
        <item x="12"/>
        <item x="34"/>
        <item x="47"/>
        <item x="3"/>
        <item x="32"/>
        <item x="7"/>
        <item x="19"/>
        <item x="50"/>
        <item x="71"/>
        <item x="43"/>
        <item x="41"/>
        <item x="44"/>
        <item x="25"/>
        <item x="18"/>
        <item x="10"/>
        <item x="56"/>
        <item x="66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5" hier="-1"/>
  </pageFields>
  <dataFields count="1">
    <dataField name="Average of failurerate" fld="5" subtotal="average" baseField="1" baseItem="8"/>
  </dataFields>
  <chartFormats count="9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E0055-5B6E-4491-9B55-D9C1DC59428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6" firstHeaderRow="1" firstDataRow="2" firstDataCol="1"/>
  <pivotFields count="9">
    <pivotField showAll="0"/>
    <pivotField numFmtId="22" showAll="0"/>
    <pivotField showAll="0"/>
    <pivotField showAll="0"/>
    <pivotField axis="axisRow" showAll="0">
      <items count="62">
        <item x="32"/>
        <item x="42"/>
        <item x="27"/>
        <item x="58"/>
        <item x="30"/>
        <item x="34"/>
        <item x="23"/>
        <item x="43"/>
        <item x="51"/>
        <item x="33"/>
        <item x="19"/>
        <item x="3"/>
        <item x="8"/>
        <item x="28"/>
        <item x="53"/>
        <item x="36"/>
        <item x="22"/>
        <item x="26"/>
        <item x="13"/>
        <item x="39"/>
        <item x="50"/>
        <item x="57"/>
        <item x="41"/>
        <item x="20"/>
        <item x="14"/>
        <item x="11"/>
        <item x="25"/>
        <item x="38"/>
        <item x="59"/>
        <item x="35"/>
        <item x="24"/>
        <item x="52"/>
        <item x="29"/>
        <item x="1"/>
        <item x="37"/>
        <item x="45"/>
        <item x="47"/>
        <item x="16"/>
        <item x="40"/>
        <item x="55"/>
        <item x="17"/>
        <item x="21"/>
        <item x="12"/>
        <item x="10"/>
        <item x="49"/>
        <item x="15"/>
        <item x="2"/>
        <item x="4"/>
        <item x="5"/>
        <item x="46"/>
        <item x="18"/>
        <item x="9"/>
        <item x="48"/>
        <item x="31"/>
        <item x="60"/>
        <item x="54"/>
        <item x="0"/>
        <item x="56"/>
        <item x="7"/>
        <item x="44"/>
        <item x="6"/>
        <item t="default"/>
      </items>
    </pivotField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</pivotFields>
  <rowFields count="1">
    <field x="4"/>
  </rowFields>
  <rowItems count="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authentication_result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35E53-7CE0-4448-89B9-A3A59729935F}" name="Table1" displayName="Table1" ref="A1:F81" totalsRowShown="0">
  <autoFilter ref="A1:F81" xr:uid="{60235E53-7CE0-4448-89B9-A3A59729935F}">
    <filterColumn colId="1">
      <filters>
        <filter val="25"/>
      </filters>
    </filterColumn>
  </autoFilter>
  <tableColumns count="6">
    <tableColumn id="1" xr3:uid="{54CD5564-60AA-478A-A0AD-C8BD3F5309F6}" name="organization_id"/>
    <tableColumn id="2" xr3:uid="{99EB00DF-3A7A-4FF1-A6C4-B42A75729457}" name="weekofevent"/>
    <tableColumn id="3" xr3:uid="{B3F5668F-504E-41FE-A17C-15D39B8AE8B6}" name="numofauthresults"/>
    <tableColumn id="4" xr3:uid="{3AA18FEF-411A-4AA9-BFA6-D9A8077F7AE4}" name="numofauthsuccesses"/>
    <tableColumn id="5" xr3:uid="{BE75B5F6-9BAC-495C-8F54-D37264234058}" name="numoffailures"/>
    <tableColumn id="6" xr3:uid="{B0DF59B5-556C-4A75-9D87-B1C2E82334F3}" name="failure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954F01-C15D-4A6C-964C-238CB1B9DF50}" name="Table2" displayName="Table2" ref="A1:F14" totalsRowShown="0">
  <autoFilter ref="A1:F14" xr:uid="{B9954F01-C15D-4A6C-964C-238CB1B9DF50}"/>
  <tableColumns count="6">
    <tableColumn id="1" xr3:uid="{D7C32C43-0B09-416E-B949-7099CE9A88A6}" name="organization_id"/>
    <tableColumn id="2" xr3:uid="{E79FB038-E016-445F-871F-62394AD43A33}" name="dayofevent" dataDxfId="0"/>
    <tableColumn id="3" xr3:uid="{13B7DBC3-8578-4CC0-820A-829348314A5C}" name="numofauthresults"/>
    <tableColumn id="4" xr3:uid="{FF3518E7-D4D6-4C6A-8295-60AD57AD0993}" name="numofauthsuccesses"/>
    <tableColumn id="5" xr3:uid="{A74AD1D6-78A7-48D2-955E-F6D3C16CEFC6}" name="numoffailures"/>
    <tableColumn id="6" xr3:uid="{5738B8D0-4EF9-4979-972C-136D4A924A8A}" name="failure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65D0EC-3880-49C4-A856-7A730EFABFEC}" name="Table3" displayName="Table3" ref="A1:I118" totalsRowShown="0">
  <autoFilter ref="A1:I118" xr:uid="{6565D0EC-3880-49C4-A856-7A730EFABFEC}">
    <filterColumn colId="4">
      <filters>
        <filter val="203.0.113.250"/>
      </filters>
    </filterColumn>
  </autoFilter>
  <tableColumns count="9">
    <tableColumn id="1" xr3:uid="{1C2B94F1-EE41-4376-B757-064A11C9978D}" name="event_id"/>
    <tableColumn id="2" xr3:uid="{CB958543-08E9-461E-8070-2D0CE0FC9A82}" name="event_timestamp" dataDxfId="1"/>
    <tableColumn id="3" xr3:uid="{D71B04D2-3F9D-47BB-86C2-EC40E762C1C1}" name="user_id"/>
    <tableColumn id="4" xr3:uid="{FEA53D7E-58A4-4FF6-94F7-A5199C63E9AC}" name="device_id"/>
    <tableColumn id="5" xr3:uid="{F796DAC6-9656-4391-ACC3-AEC7F4C3E992}" name="ip_address"/>
    <tableColumn id="6" xr3:uid="{4FC752BD-9468-4618-86EE-43E57CC87792}" name="application_name"/>
    <tableColumn id="7" xr3:uid="{03E787AB-4216-47BA-8762-6A62D7271AF8}" name="authentication_method"/>
    <tableColumn id="8" xr3:uid="{31BDFF3B-4FF1-46BE-9D59-36FACEA986CD}" name="authentication_result"/>
    <tableColumn id="9" xr3:uid="{37892045-765F-4F53-9815-EEE0689AD4E2}" name="organization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3AEBB-B573-4E99-BAEE-0C199526AF11}">
  <dimension ref="A1:J28"/>
  <sheetViews>
    <sheetView workbookViewId="0">
      <selection activeCell="J13" sqref="J1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10" width="12" bestFit="1" customWidth="1"/>
  </cols>
  <sheetData>
    <row r="1" spans="1:10" x14ac:dyDescent="0.3">
      <c r="A1" s="1" t="s">
        <v>5</v>
      </c>
      <c r="B1" t="s">
        <v>10</v>
      </c>
    </row>
    <row r="3" spans="1:10" x14ac:dyDescent="0.3">
      <c r="A3" s="1" t="s">
        <v>9</v>
      </c>
      <c r="B3" s="1" t="s">
        <v>8</v>
      </c>
    </row>
    <row r="4" spans="1:10" x14ac:dyDescent="0.3">
      <c r="A4" s="1" t="s">
        <v>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 t="s">
        <v>7</v>
      </c>
    </row>
    <row r="5" spans="1:10" x14ac:dyDescent="0.3">
      <c r="A5" s="2">
        <v>25</v>
      </c>
      <c r="B5">
        <v>0</v>
      </c>
      <c r="C5">
        <v>20</v>
      </c>
      <c r="D5">
        <v>0</v>
      </c>
      <c r="E5">
        <v>0</v>
      </c>
      <c r="F5">
        <v>20</v>
      </c>
      <c r="G5">
        <v>0</v>
      </c>
      <c r="H5">
        <v>28.571428571428498</v>
      </c>
      <c r="I5">
        <v>33.3333333333333</v>
      </c>
      <c r="J5">
        <v>12.738095238095225</v>
      </c>
    </row>
    <row r="6" spans="1:10" x14ac:dyDescent="0.3">
      <c r="A6" s="2">
        <v>26</v>
      </c>
      <c r="B6">
        <v>9.1295116772823697</v>
      </c>
      <c r="C6">
        <v>5.9523809523809499</v>
      </c>
      <c r="D6">
        <v>9.6026490066225101</v>
      </c>
      <c r="E6">
        <v>8.86075949367088</v>
      </c>
      <c r="F6">
        <v>4.46428571428571</v>
      </c>
      <c r="G6">
        <v>10.7296137339055</v>
      </c>
      <c r="H6">
        <v>9.4629156010230098</v>
      </c>
      <c r="I6">
        <v>9.2896174863387895</v>
      </c>
      <c r="J6">
        <v>8.4364667081887141</v>
      </c>
    </row>
    <row r="7" spans="1:10" x14ac:dyDescent="0.3">
      <c r="A7" s="2">
        <v>27</v>
      </c>
      <c r="B7">
        <v>10.159362549800701</v>
      </c>
      <c r="C7">
        <v>10.2127659574468</v>
      </c>
      <c r="D7">
        <v>7.5581395348837201</v>
      </c>
      <c r="E7">
        <v>5.5248618784530299</v>
      </c>
      <c r="F7">
        <v>9.6938775510203996</v>
      </c>
      <c r="G7">
        <v>8.2524271844660095</v>
      </c>
      <c r="H7">
        <v>9.4059405940594001</v>
      </c>
      <c r="I7">
        <v>8.5106382978723403</v>
      </c>
      <c r="J7">
        <v>8.6647516935002997</v>
      </c>
    </row>
    <row r="8" spans="1:10" x14ac:dyDescent="0.3">
      <c r="A8" s="2">
        <v>28</v>
      </c>
      <c r="B8">
        <v>10.772357723577199</v>
      </c>
      <c r="C8">
        <v>9.1764705882352899</v>
      </c>
      <c r="D8">
        <v>7.2674418604651096</v>
      </c>
      <c r="E8">
        <v>8.0459770114942497</v>
      </c>
      <c r="F8">
        <v>4.7846889952153102</v>
      </c>
      <c r="G8">
        <v>7.46887966804979</v>
      </c>
      <c r="H8">
        <v>9.0909090909090899</v>
      </c>
      <c r="I8">
        <v>8.4656084656084598</v>
      </c>
      <c r="J8">
        <v>8.1340416754443119</v>
      </c>
    </row>
    <row r="9" spans="1:10" x14ac:dyDescent="0.3">
      <c r="A9" s="2">
        <v>29</v>
      </c>
      <c r="B9">
        <v>8.9005235602094199</v>
      </c>
      <c r="C9">
        <v>8.9912280701754295</v>
      </c>
      <c r="D9">
        <v>7.1641791044776104</v>
      </c>
      <c r="E9">
        <v>10.8823529411764</v>
      </c>
      <c r="F9">
        <v>12.5</v>
      </c>
      <c r="G9">
        <v>11.3043478260869</v>
      </c>
      <c r="H9">
        <v>6.3938618925831197</v>
      </c>
      <c r="I9">
        <v>7.7720207253886002</v>
      </c>
      <c r="J9">
        <v>9.2385642650121849</v>
      </c>
    </row>
    <row r="10" spans="1:10" x14ac:dyDescent="0.3">
      <c r="A10" s="2">
        <v>30</v>
      </c>
      <c r="B10">
        <v>8.7188612099644107</v>
      </c>
      <c r="C10">
        <v>7.7625570776255701</v>
      </c>
      <c r="D10">
        <v>8.4175084175084098</v>
      </c>
      <c r="E10">
        <v>5.12129380053908</v>
      </c>
      <c r="F10">
        <v>9.3596059113300392</v>
      </c>
      <c r="G10">
        <v>6.6037735849056602</v>
      </c>
      <c r="H10">
        <v>9.25</v>
      </c>
      <c r="I10">
        <v>11.9791666666666</v>
      </c>
      <c r="J10">
        <v>8.4015958335674696</v>
      </c>
    </row>
    <row r="11" spans="1:10" x14ac:dyDescent="0.3">
      <c r="A11" s="2">
        <v>31</v>
      </c>
      <c r="B11">
        <v>8.7044534412955397</v>
      </c>
      <c r="C11">
        <v>8.7234042553191404</v>
      </c>
      <c r="D11">
        <v>12.609970674486799</v>
      </c>
      <c r="E11">
        <v>10.465116279069701</v>
      </c>
      <c r="F11">
        <v>12.077294685990299</v>
      </c>
      <c r="G11">
        <v>9.6234309623430896</v>
      </c>
      <c r="H11">
        <v>8.8235294117646994</v>
      </c>
      <c r="I11">
        <v>8.8235294117646994</v>
      </c>
      <c r="J11">
        <v>9.981341140254246</v>
      </c>
    </row>
    <row r="12" spans="1:10" x14ac:dyDescent="0.3">
      <c r="A12" s="2">
        <v>32</v>
      </c>
      <c r="B12">
        <v>11.0074626865671</v>
      </c>
      <c r="C12">
        <v>8.3160083160083094</v>
      </c>
      <c r="D12">
        <v>4.3988269794721404</v>
      </c>
      <c r="E12">
        <v>8.7463556851311903</v>
      </c>
      <c r="F12">
        <v>12.562814070351701</v>
      </c>
      <c r="G12">
        <v>4.2253521126760498</v>
      </c>
      <c r="H12">
        <v>9.0047393364928894</v>
      </c>
      <c r="I12">
        <v>8.7804878048780406</v>
      </c>
      <c r="J12">
        <v>8.3802558739471777</v>
      </c>
    </row>
    <row r="13" spans="1:10" x14ac:dyDescent="0.3">
      <c r="A13" s="2">
        <v>33</v>
      </c>
      <c r="B13">
        <v>7.9470198675496597</v>
      </c>
      <c r="C13">
        <v>17.372881355932201</v>
      </c>
      <c r="D13">
        <v>5.8641975308641898</v>
      </c>
      <c r="E13">
        <v>8.9080459770114899</v>
      </c>
      <c r="F13">
        <v>9.1787439613526498</v>
      </c>
      <c r="G13">
        <v>8.3969465648854893</v>
      </c>
      <c r="H13">
        <v>9.3137254901960702</v>
      </c>
      <c r="I13">
        <v>8.5889570552147205</v>
      </c>
      <c r="J13">
        <v>9.4463147253758084</v>
      </c>
    </row>
    <row r="14" spans="1:10" x14ac:dyDescent="0.3">
      <c r="A14" s="2">
        <v>34</v>
      </c>
      <c r="B14">
        <v>9.5808383233532908</v>
      </c>
      <c r="C14">
        <v>11.1111111111111</v>
      </c>
      <c r="D14">
        <v>6.3926940639269398</v>
      </c>
      <c r="E14">
        <v>8.8785046728971899</v>
      </c>
      <c r="F14">
        <v>8.7591240875912408</v>
      </c>
      <c r="G14">
        <v>9.3959731543624105</v>
      </c>
      <c r="H14">
        <v>9.3385214007782107</v>
      </c>
      <c r="I14">
        <v>7.8571428571428497</v>
      </c>
      <c r="J14">
        <v>8.9142387088954038</v>
      </c>
    </row>
    <row r="15" spans="1:10" x14ac:dyDescent="0.3">
      <c r="A15" s="2" t="s">
        <v>7</v>
      </c>
      <c r="B15">
        <v>8.4920391039599696</v>
      </c>
      <c r="C15">
        <v>10.761880768423479</v>
      </c>
      <c r="D15">
        <v>6.9275607172707439</v>
      </c>
      <c r="E15">
        <v>7.5433267739443224</v>
      </c>
      <c r="F15">
        <v>10.338043497713736</v>
      </c>
      <c r="G15">
        <v>7.6000744791680903</v>
      </c>
      <c r="H15">
        <v>10.865557138923498</v>
      </c>
      <c r="I15">
        <v>11.34005021042084</v>
      </c>
      <c r="J15">
        <v>9.2335665862280845</v>
      </c>
    </row>
    <row r="17" spans="1:10" x14ac:dyDescent="0.3"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v>7</v>
      </c>
      <c r="I17">
        <v>8</v>
      </c>
    </row>
    <row r="18" spans="1:10" x14ac:dyDescent="0.3">
      <c r="A18" s="2">
        <v>25</v>
      </c>
      <c r="B18" s="3" t="e">
        <f t="shared" ref="B18:I27" si="0">IF(B5&lt;15, NA(), B5)</f>
        <v>#N/A</v>
      </c>
      <c r="C18" s="3">
        <f t="shared" si="0"/>
        <v>20</v>
      </c>
      <c r="D18" s="3" t="e">
        <f t="shared" si="0"/>
        <v>#N/A</v>
      </c>
      <c r="E18" s="3" t="e">
        <f t="shared" si="0"/>
        <v>#N/A</v>
      </c>
      <c r="F18" s="3">
        <f t="shared" si="0"/>
        <v>20</v>
      </c>
      <c r="G18" s="3" t="e">
        <f t="shared" si="0"/>
        <v>#N/A</v>
      </c>
      <c r="H18" s="3">
        <f t="shared" si="0"/>
        <v>28.571428571428498</v>
      </c>
      <c r="I18" s="3">
        <f t="shared" si="0"/>
        <v>33.3333333333333</v>
      </c>
      <c r="J18" s="3"/>
    </row>
    <row r="19" spans="1:10" x14ac:dyDescent="0.3">
      <c r="A19" s="2">
        <v>26</v>
      </c>
      <c r="B19" s="3" t="e">
        <f t="shared" si="0"/>
        <v>#N/A</v>
      </c>
      <c r="C19" s="3" t="e">
        <f t="shared" si="0"/>
        <v>#N/A</v>
      </c>
      <c r="D19" s="3" t="e">
        <f t="shared" si="0"/>
        <v>#N/A</v>
      </c>
      <c r="E19" s="3" t="e">
        <f t="shared" si="0"/>
        <v>#N/A</v>
      </c>
      <c r="F19" s="3" t="e">
        <f t="shared" si="0"/>
        <v>#N/A</v>
      </c>
      <c r="G19" s="3" t="e">
        <f t="shared" si="0"/>
        <v>#N/A</v>
      </c>
      <c r="H19" s="3" t="e">
        <f t="shared" si="0"/>
        <v>#N/A</v>
      </c>
      <c r="I19" s="3" t="e">
        <f t="shared" si="0"/>
        <v>#N/A</v>
      </c>
      <c r="J19" s="3"/>
    </row>
    <row r="20" spans="1:10" x14ac:dyDescent="0.3">
      <c r="A20" s="2">
        <v>27</v>
      </c>
      <c r="B20" s="3" t="e">
        <f t="shared" si="0"/>
        <v>#N/A</v>
      </c>
      <c r="C20" s="3" t="e">
        <f t="shared" si="0"/>
        <v>#N/A</v>
      </c>
      <c r="D20" s="3" t="e">
        <f t="shared" si="0"/>
        <v>#N/A</v>
      </c>
      <c r="E20" s="3" t="e">
        <f t="shared" si="0"/>
        <v>#N/A</v>
      </c>
      <c r="F20" s="3" t="e">
        <f t="shared" si="0"/>
        <v>#N/A</v>
      </c>
      <c r="G20" s="3" t="e">
        <f t="shared" si="0"/>
        <v>#N/A</v>
      </c>
      <c r="H20" s="3" t="e">
        <f t="shared" si="0"/>
        <v>#N/A</v>
      </c>
      <c r="I20" s="3" t="e">
        <f t="shared" si="0"/>
        <v>#N/A</v>
      </c>
      <c r="J20" s="3"/>
    </row>
    <row r="21" spans="1:10" x14ac:dyDescent="0.3">
      <c r="A21" s="2">
        <v>28</v>
      </c>
      <c r="B21" s="3" t="e">
        <f t="shared" si="0"/>
        <v>#N/A</v>
      </c>
      <c r="C21" s="3" t="e">
        <f t="shared" si="0"/>
        <v>#N/A</v>
      </c>
      <c r="D21" s="3" t="e">
        <f t="shared" si="0"/>
        <v>#N/A</v>
      </c>
      <c r="E21" s="3" t="e">
        <f t="shared" si="0"/>
        <v>#N/A</v>
      </c>
      <c r="F21" s="3" t="e">
        <f t="shared" si="0"/>
        <v>#N/A</v>
      </c>
      <c r="G21" s="3" t="e">
        <f t="shared" si="0"/>
        <v>#N/A</v>
      </c>
      <c r="H21" s="3" t="e">
        <f t="shared" si="0"/>
        <v>#N/A</v>
      </c>
      <c r="I21" s="3" t="e">
        <f t="shared" si="0"/>
        <v>#N/A</v>
      </c>
      <c r="J21" s="3"/>
    </row>
    <row r="22" spans="1:10" x14ac:dyDescent="0.3">
      <c r="A22" s="2">
        <v>29</v>
      </c>
      <c r="B22" s="3" t="e">
        <f t="shared" si="0"/>
        <v>#N/A</v>
      </c>
      <c r="C22" s="3" t="e">
        <f t="shared" si="0"/>
        <v>#N/A</v>
      </c>
      <c r="D22" s="3" t="e">
        <f t="shared" si="0"/>
        <v>#N/A</v>
      </c>
      <c r="E22" s="3" t="e">
        <f t="shared" si="0"/>
        <v>#N/A</v>
      </c>
      <c r="F22" s="3" t="e">
        <f t="shared" si="0"/>
        <v>#N/A</v>
      </c>
      <c r="G22" s="3" t="e">
        <f t="shared" si="0"/>
        <v>#N/A</v>
      </c>
      <c r="H22" s="3" t="e">
        <f t="shared" si="0"/>
        <v>#N/A</v>
      </c>
      <c r="I22" s="3" t="e">
        <f t="shared" si="0"/>
        <v>#N/A</v>
      </c>
      <c r="J22" s="3"/>
    </row>
    <row r="23" spans="1:10" x14ac:dyDescent="0.3">
      <c r="A23" s="2">
        <v>30</v>
      </c>
      <c r="B23" s="3" t="e">
        <f t="shared" si="0"/>
        <v>#N/A</v>
      </c>
      <c r="C23" s="3" t="e">
        <f t="shared" si="0"/>
        <v>#N/A</v>
      </c>
      <c r="D23" s="3" t="e">
        <f t="shared" si="0"/>
        <v>#N/A</v>
      </c>
      <c r="E23" s="3" t="e">
        <f t="shared" si="0"/>
        <v>#N/A</v>
      </c>
      <c r="F23" s="3" t="e">
        <f t="shared" si="0"/>
        <v>#N/A</v>
      </c>
      <c r="G23" s="3" t="e">
        <f t="shared" si="0"/>
        <v>#N/A</v>
      </c>
      <c r="H23" s="3" t="e">
        <f t="shared" si="0"/>
        <v>#N/A</v>
      </c>
      <c r="I23" s="3" t="e">
        <f t="shared" si="0"/>
        <v>#N/A</v>
      </c>
      <c r="J23" s="3"/>
    </row>
    <row r="24" spans="1:10" x14ac:dyDescent="0.3">
      <c r="A24" s="2">
        <v>31</v>
      </c>
      <c r="B24" s="3" t="e">
        <f t="shared" si="0"/>
        <v>#N/A</v>
      </c>
      <c r="C24" s="3" t="e">
        <f t="shared" si="0"/>
        <v>#N/A</v>
      </c>
      <c r="D24" s="3" t="e">
        <f t="shared" si="0"/>
        <v>#N/A</v>
      </c>
      <c r="E24" s="3" t="e">
        <f t="shared" si="0"/>
        <v>#N/A</v>
      </c>
      <c r="F24" s="3" t="e">
        <f t="shared" si="0"/>
        <v>#N/A</v>
      </c>
      <c r="G24" s="3" t="e">
        <f t="shared" si="0"/>
        <v>#N/A</v>
      </c>
      <c r="H24" s="3" t="e">
        <f t="shared" si="0"/>
        <v>#N/A</v>
      </c>
      <c r="I24" s="3" t="e">
        <f t="shared" si="0"/>
        <v>#N/A</v>
      </c>
      <c r="J24" s="3"/>
    </row>
    <row r="25" spans="1:10" x14ac:dyDescent="0.3">
      <c r="A25" s="2">
        <v>32</v>
      </c>
      <c r="B25" s="3" t="e">
        <f t="shared" si="0"/>
        <v>#N/A</v>
      </c>
      <c r="C25" s="3" t="e">
        <f t="shared" si="0"/>
        <v>#N/A</v>
      </c>
      <c r="D25" s="3" t="e">
        <f t="shared" si="0"/>
        <v>#N/A</v>
      </c>
      <c r="E25" s="3" t="e">
        <f t="shared" si="0"/>
        <v>#N/A</v>
      </c>
      <c r="F25" s="3" t="e">
        <f t="shared" si="0"/>
        <v>#N/A</v>
      </c>
      <c r="G25" s="3" t="e">
        <f t="shared" si="0"/>
        <v>#N/A</v>
      </c>
      <c r="H25" s="3" t="e">
        <f t="shared" si="0"/>
        <v>#N/A</v>
      </c>
      <c r="I25" s="3" t="e">
        <f t="shared" si="0"/>
        <v>#N/A</v>
      </c>
      <c r="J25" s="3"/>
    </row>
    <row r="26" spans="1:10" x14ac:dyDescent="0.3">
      <c r="A26" s="2">
        <v>33</v>
      </c>
      <c r="B26" s="3" t="e">
        <f t="shared" si="0"/>
        <v>#N/A</v>
      </c>
      <c r="C26" s="3">
        <f t="shared" si="0"/>
        <v>17.372881355932201</v>
      </c>
      <c r="D26" s="3" t="e">
        <f t="shared" si="0"/>
        <v>#N/A</v>
      </c>
      <c r="E26" s="3" t="e">
        <f t="shared" si="0"/>
        <v>#N/A</v>
      </c>
      <c r="F26" s="3" t="e">
        <f t="shared" si="0"/>
        <v>#N/A</v>
      </c>
      <c r="G26" s="3" t="e">
        <f t="shared" si="0"/>
        <v>#N/A</v>
      </c>
      <c r="H26" s="3" t="e">
        <f t="shared" si="0"/>
        <v>#N/A</v>
      </c>
      <c r="I26" s="3" t="e">
        <f t="shared" si="0"/>
        <v>#N/A</v>
      </c>
      <c r="J26" s="3"/>
    </row>
    <row r="27" spans="1:10" x14ac:dyDescent="0.3">
      <c r="A27" s="2">
        <v>34</v>
      </c>
      <c r="B27" s="3" t="e">
        <f t="shared" si="0"/>
        <v>#N/A</v>
      </c>
      <c r="C27" s="3" t="e">
        <f t="shared" si="0"/>
        <v>#N/A</v>
      </c>
      <c r="D27" s="3" t="e">
        <f t="shared" si="0"/>
        <v>#N/A</v>
      </c>
      <c r="E27" s="3" t="e">
        <f t="shared" si="0"/>
        <v>#N/A</v>
      </c>
      <c r="F27" s="3" t="e">
        <f t="shared" si="0"/>
        <v>#N/A</v>
      </c>
      <c r="G27" s="3" t="e">
        <f t="shared" si="0"/>
        <v>#N/A</v>
      </c>
      <c r="H27" s="3" t="e">
        <f t="shared" si="0"/>
        <v>#N/A</v>
      </c>
      <c r="I27" s="3" t="e">
        <f t="shared" si="0"/>
        <v>#N/A</v>
      </c>
      <c r="J27" s="3"/>
    </row>
    <row r="28" spans="1:10" x14ac:dyDescent="0.3">
      <c r="B28" s="3"/>
      <c r="C28" s="3"/>
      <c r="D28" s="3"/>
      <c r="E28" s="3"/>
      <c r="F28" s="3"/>
      <c r="G28" s="3"/>
      <c r="H28" s="3"/>
      <c r="I28" s="3"/>
      <c r="J28" s="3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1D6F-BC64-40ED-8DA4-9A1EB201ECD4}">
  <dimension ref="A1:F81"/>
  <sheetViews>
    <sheetView workbookViewId="0">
      <selection activeCell="E20" sqref="E20"/>
    </sheetView>
  </sheetViews>
  <sheetFormatPr defaultRowHeight="14.4" x14ac:dyDescent="0.3"/>
  <cols>
    <col min="1" max="1" width="15.5546875" customWidth="1"/>
    <col min="2" max="2" width="13.33203125" customWidth="1"/>
    <col min="3" max="3" width="17.44140625" customWidth="1"/>
    <col min="4" max="4" width="20.33203125" customWidth="1"/>
    <col min="5" max="5" width="14.33203125" customWidth="1"/>
    <col min="6" max="6" width="1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25</v>
      </c>
      <c r="C2">
        <v>17</v>
      </c>
      <c r="D2">
        <v>17</v>
      </c>
      <c r="E2">
        <v>0</v>
      </c>
      <c r="F2">
        <v>0</v>
      </c>
    </row>
    <row r="3" spans="1:6" hidden="1" x14ac:dyDescent="0.3">
      <c r="A3">
        <v>1</v>
      </c>
      <c r="B3">
        <v>26</v>
      </c>
      <c r="C3">
        <v>471</v>
      </c>
      <c r="D3">
        <v>428</v>
      </c>
      <c r="E3">
        <v>43</v>
      </c>
      <c r="F3">
        <v>9.1295116772823697</v>
      </c>
    </row>
    <row r="4" spans="1:6" hidden="1" x14ac:dyDescent="0.3">
      <c r="A4">
        <v>1</v>
      </c>
      <c r="B4">
        <v>27</v>
      </c>
      <c r="C4">
        <v>502</v>
      </c>
      <c r="D4">
        <v>451</v>
      </c>
      <c r="E4">
        <v>51</v>
      </c>
      <c r="F4">
        <v>10.159362549800701</v>
      </c>
    </row>
    <row r="5" spans="1:6" hidden="1" x14ac:dyDescent="0.3">
      <c r="A5">
        <v>1</v>
      </c>
      <c r="B5">
        <v>28</v>
      </c>
      <c r="C5">
        <v>492</v>
      </c>
      <c r="D5">
        <v>439</v>
      </c>
      <c r="E5">
        <v>53</v>
      </c>
      <c r="F5">
        <v>10.772357723577199</v>
      </c>
    </row>
    <row r="6" spans="1:6" hidden="1" x14ac:dyDescent="0.3">
      <c r="A6">
        <v>1</v>
      </c>
      <c r="B6">
        <v>29</v>
      </c>
      <c r="C6">
        <v>573</v>
      </c>
      <c r="D6">
        <v>522</v>
      </c>
      <c r="E6">
        <v>51</v>
      </c>
      <c r="F6">
        <v>8.9005235602094199</v>
      </c>
    </row>
    <row r="7" spans="1:6" hidden="1" x14ac:dyDescent="0.3">
      <c r="A7">
        <v>1</v>
      </c>
      <c r="B7">
        <v>30</v>
      </c>
      <c r="C7">
        <v>562</v>
      </c>
      <c r="D7">
        <v>513</v>
      </c>
      <c r="E7">
        <v>49</v>
      </c>
      <c r="F7">
        <v>8.7188612099644107</v>
      </c>
    </row>
    <row r="8" spans="1:6" hidden="1" x14ac:dyDescent="0.3">
      <c r="A8">
        <v>1</v>
      </c>
      <c r="B8">
        <v>31</v>
      </c>
      <c r="C8">
        <v>494</v>
      </c>
      <c r="D8">
        <v>451</v>
      </c>
      <c r="E8">
        <v>43</v>
      </c>
      <c r="F8">
        <v>8.7044534412955397</v>
      </c>
    </row>
    <row r="9" spans="1:6" hidden="1" x14ac:dyDescent="0.3">
      <c r="A9">
        <v>1</v>
      </c>
      <c r="B9">
        <v>32</v>
      </c>
      <c r="C9">
        <v>536</v>
      </c>
      <c r="D9">
        <v>477</v>
      </c>
      <c r="E9">
        <v>59</v>
      </c>
      <c r="F9">
        <v>11.0074626865671</v>
      </c>
    </row>
    <row r="10" spans="1:6" hidden="1" x14ac:dyDescent="0.3">
      <c r="A10">
        <v>1</v>
      </c>
      <c r="B10">
        <v>33</v>
      </c>
      <c r="C10">
        <v>604</v>
      </c>
      <c r="D10">
        <v>556</v>
      </c>
      <c r="E10">
        <v>48</v>
      </c>
      <c r="F10">
        <v>7.9470198675496597</v>
      </c>
    </row>
    <row r="11" spans="1:6" hidden="1" x14ac:dyDescent="0.3">
      <c r="A11">
        <v>1</v>
      </c>
      <c r="B11">
        <v>34</v>
      </c>
      <c r="C11">
        <v>334</v>
      </c>
      <c r="D11">
        <v>302</v>
      </c>
      <c r="E11">
        <v>32</v>
      </c>
      <c r="F11">
        <v>9.5808383233532908</v>
      </c>
    </row>
    <row r="12" spans="1:6" x14ac:dyDescent="0.3">
      <c r="A12">
        <v>2</v>
      </c>
      <c r="B12">
        <v>25</v>
      </c>
      <c r="C12">
        <v>10</v>
      </c>
      <c r="D12">
        <v>8</v>
      </c>
      <c r="E12">
        <v>2</v>
      </c>
      <c r="F12">
        <v>20</v>
      </c>
    </row>
    <row r="13" spans="1:6" hidden="1" x14ac:dyDescent="0.3">
      <c r="A13">
        <v>2</v>
      </c>
      <c r="B13">
        <v>26</v>
      </c>
      <c r="C13">
        <v>504</v>
      </c>
      <c r="D13">
        <v>474</v>
      </c>
      <c r="E13">
        <v>30</v>
      </c>
      <c r="F13">
        <v>5.9523809523809499</v>
      </c>
    </row>
    <row r="14" spans="1:6" hidden="1" x14ac:dyDescent="0.3">
      <c r="A14">
        <v>2</v>
      </c>
      <c r="B14">
        <v>27</v>
      </c>
      <c r="C14">
        <v>470</v>
      </c>
      <c r="D14">
        <v>422</v>
      </c>
      <c r="E14">
        <v>48</v>
      </c>
      <c r="F14">
        <v>10.2127659574468</v>
      </c>
    </row>
    <row r="15" spans="1:6" hidden="1" x14ac:dyDescent="0.3">
      <c r="A15">
        <v>2</v>
      </c>
      <c r="B15">
        <v>28</v>
      </c>
      <c r="C15">
        <v>425</v>
      </c>
      <c r="D15">
        <v>386</v>
      </c>
      <c r="E15">
        <v>39</v>
      </c>
      <c r="F15">
        <v>9.1764705882352899</v>
      </c>
    </row>
    <row r="16" spans="1:6" hidden="1" x14ac:dyDescent="0.3">
      <c r="A16">
        <v>2</v>
      </c>
      <c r="B16">
        <v>29</v>
      </c>
      <c r="C16">
        <v>456</v>
      </c>
      <c r="D16">
        <v>415</v>
      </c>
      <c r="E16">
        <v>41</v>
      </c>
      <c r="F16">
        <v>8.9912280701754295</v>
      </c>
    </row>
    <row r="17" spans="1:6" hidden="1" x14ac:dyDescent="0.3">
      <c r="A17">
        <v>2</v>
      </c>
      <c r="B17">
        <v>30</v>
      </c>
      <c r="C17">
        <v>438</v>
      </c>
      <c r="D17">
        <v>404</v>
      </c>
      <c r="E17">
        <v>34</v>
      </c>
      <c r="F17">
        <v>7.7625570776255701</v>
      </c>
    </row>
    <row r="18" spans="1:6" hidden="1" x14ac:dyDescent="0.3">
      <c r="A18">
        <v>2</v>
      </c>
      <c r="B18">
        <v>31</v>
      </c>
      <c r="C18">
        <v>470</v>
      </c>
      <c r="D18">
        <v>429</v>
      </c>
      <c r="E18">
        <v>41</v>
      </c>
      <c r="F18">
        <v>8.7234042553191404</v>
      </c>
    </row>
    <row r="19" spans="1:6" hidden="1" x14ac:dyDescent="0.3">
      <c r="A19">
        <v>2</v>
      </c>
      <c r="B19">
        <v>32</v>
      </c>
      <c r="C19">
        <v>481</v>
      </c>
      <c r="D19">
        <v>441</v>
      </c>
      <c r="E19">
        <v>40</v>
      </c>
      <c r="F19">
        <v>8.3160083160083094</v>
      </c>
    </row>
    <row r="20" spans="1:6" hidden="1" x14ac:dyDescent="0.3">
      <c r="A20">
        <v>2</v>
      </c>
      <c r="B20">
        <v>33</v>
      </c>
      <c r="C20">
        <v>472</v>
      </c>
      <c r="D20">
        <v>390</v>
      </c>
      <c r="E20">
        <v>82</v>
      </c>
      <c r="F20">
        <v>17.372881355932201</v>
      </c>
    </row>
    <row r="21" spans="1:6" hidden="1" x14ac:dyDescent="0.3">
      <c r="A21">
        <v>2</v>
      </c>
      <c r="B21">
        <v>34</v>
      </c>
      <c r="C21">
        <v>252</v>
      </c>
      <c r="D21">
        <v>224</v>
      </c>
      <c r="E21">
        <v>28</v>
      </c>
      <c r="F21">
        <v>11.1111111111111</v>
      </c>
    </row>
    <row r="22" spans="1:6" x14ac:dyDescent="0.3">
      <c r="A22">
        <v>3</v>
      </c>
      <c r="B22">
        <v>25</v>
      </c>
      <c r="C22">
        <v>5</v>
      </c>
      <c r="D22">
        <v>5</v>
      </c>
      <c r="E22">
        <v>0</v>
      </c>
      <c r="F22">
        <v>0</v>
      </c>
    </row>
    <row r="23" spans="1:6" hidden="1" x14ac:dyDescent="0.3">
      <c r="A23">
        <v>3</v>
      </c>
      <c r="B23">
        <v>26</v>
      </c>
      <c r="C23">
        <v>302</v>
      </c>
      <c r="D23">
        <v>273</v>
      </c>
      <c r="E23">
        <v>29</v>
      </c>
      <c r="F23">
        <v>9.6026490066225101</v>
      </c>
    </row>
    <row r="24" spans="1:6" hidden="1" x14ac:dyDescent="0.3">
      <c r="A24">
        <v>3</v>
      </c>
      <c r="B24">
        <v>27</v>
      </c>
      <c r="C24">
        <v>344</v>
      </c>
      <c r="D24">
        <v>318</v>
      </c>
      <c r="E24">
        <v>26</v>
      </c>
      <c r="F24">
        <v>7.5581395348837201</v>
      </c>
    </row>
    <row r="25" spans="1:6" hidden="1" x14ac:dyDescent="0.3">
      <c r="A25">
        <v>3</v>
      </c>
      <c r="B25">
        <v>28</v>
      </c>
      <c r="C25">
        <v>344</v>
      </c>
      <c r="D25">
        <v>319</v>
      </c>
      <c r="E25">
        <v>25</v>
      </c>
      <c r="F25">
        <v>7.2674418604651096</v>
      </c>
    </row>
    <row r="26" spans="1:6" hidden="1" x14ac:dyDescent="0.3">
      <c r="A26">
        <v>3</v>
      </c>
      <c r="B26">
        <v>29</v>
      </c>
      <c r="C26">
        <v>335</v>
      </c>
      <c r="D26">
        <v>311</v>
      </c>
      <c r="E26">
        <v>24</v>
      </c>
      <c r="F26">
        <v>7.1641791044776104</v>
      </c>
    </row>
    <row r="27" spans="1:6" hidden="1" x14ac:dyDescent="0.3">
      <c r="A27">
        <v>3</v>
      </c>
      <c r="B27">
        <v>30</v>
      </c>
      <c r="C27">
        <v>297</v>
      </c>
      <c r="D27">
        <v>272</v>
      </c>
      <c r="E27">
        <v>25</v>
      </c>
      <c r="F27">
        <v>8.4175084175084098</v>
      </c>
    </row>
    <row r="28" spans="1:6" hidden="1" x14ac:dyDescent="0.3">
      <c r="A28">
        <v>3</v>
      </c>
      <c r="B28">
        <v>31</v>
      </c>
      <c r="C28">
        <v>341</v>
      </c>
      <c r="D28">
        <v>298</v>
      </c>
      <c r="E28">
        <v>43</v>
      </c>
      <c r="F28">
        <v>12.609970674486799</v>
      </c>
    </row>
    <row r="29" spans="1:6" hidden="1" x14ac:dyDescent="0.3">
      <c r="A29">
        <v>3</v>
      </c>
      <c r="B29">
        <v>32</v>
      </c>
      <c r="C29">
        <v>341</v>
      </c>
      <c r="D29">
        <v>326</v>
      </c>
      <c r="E29">
        <v>15</v>
      </c>
      <c r="F29">
        <v>4.3988269794721404</v>
      </c>
    </row>
    <row r="30" spans="1:6" hidden="1" x14ac:dyDescent="0.3">
      <c r="A30">
        <v>3</v>
      </c>
      <c r="B30">
        <v>33</v>
      </c>
      <c r="C30">
        <v>324</v>
      </c>
      <c r="D30">
        <v>305</v>
      </c>
      <c r="E30">
        <v>19</v>
      </c>
      <c r="F30">
        <v>5.8641975308641898</v>
      </c>
    </row>
    <row r="31" spans="1:6" hidden="1" x14ac:dyDescent="0.3">
      <c r="A31">
        <v>3</v>
      </c>
      <c r="B31">
        <v>34</v>
      </c>
      <c r="C31">
        <v>219</v>
      </c>
      <c r="D31">
        <v>205</v>
      </c>
      <c r="E31">
        <v>14</v>
      </c>
      <c r="F31">
        <v>6.3926940639269398</v>
      </c>
    </row>
    <row r="32" spans="1:6" x14ac:dyDescent="0.3">
      <c r="A32">
        <v>4</v>
      </c>
      <c r="B32">
        <v>25</v>
      </c>
      <c r="C32">
        <v>5</v>
      </c>
      <c r="D32">
        <v>5</v>
      </c>
      <c r="E32">
        <v>0</v>
      </c>
      <c r="F32">
        <v>0</v>
      </c>
    </row>
    <row r="33" spans="1:6" hidden="1" x14ac:dyDescent="0.3">
      <c r="A33">
        <v>4</v>
      </c>
      <c r="B33">
        <v>26</v>
      </c>
      <c r="C33">
        <v>316</v>
      </c>
      <c r="D33">
        <v>288</v>
      </c>
      <c r="E33">
        <v>28</v>
      </c>
      <c r="F33">
        <v>8.86075949367088</v>
      </c>
    </row>
    <row r="34" spans="1:6" hidden="1" x14ac:dyDescent="0.3">
      <c r="A34">
        <v>4</v>
      </c>
      <c r="B34">
        <v>27</v>
      </c>
      <c r="C34">
        <v>362</v>
      </c>
      <c r="D34">
        <v>342</v>
      </c>
      <c r="E34">
        <v>20</v>
      </c>
      <c r="F34">
        <v>5.5248618784530299</v>
      </c>
    </row>
    <row r="35" spans="1:6" hidden="1" x14ac:dyDescent="0.3">
      <c r="A35">
        <v>4</v>
      </c>
      <c r="B35">
        <v>28</v>
      </c>
      <c r="C35">
        <v>348</v>
      </c>
      <c r="D35">
        <v>320</v>
      </c>
      <c r="E35">
        <v>28</v>
      </c>
      <c r="F35">
        <v>8.0459770114942497</v>
      </c>
    </row>
    <row r="36" spans="1:6" hidden="1" x14ac:dyDescent="0.3">
      <c r="A36">
        <v>4</v>
      </c>
      <c r="B36">
        <v>29</v>
      </c>
      <c r="C36">
        <v>340</v>
      </c>
      <c r="D36">
        <v>303</v>
      </c>
      <c r="E36">
        <v>37</v>
      </c>
      <c r="F36">
        <v>10.8823529411764</v>
      </c>
    </row>
    <row r="37" spans="1:6" hidden="1" x14ac:dyDescent="0.3">
      <c r="A37">
        <v>4</v>
      </c>
      <c r="B37">
        <v>30</v>
      </c>
      <c r="C37">
        <v>371</v>
      </c>
      <c r="D37">
        <v>352</v>
      </c>
      <c r="E37">
        <v>19</v>
      </c>
      <c r="F37">
        <v>5.12129380053908</v>
      </c>
    </row>
    <row r="38" spans="1:6" hidden="1" x14ac:dyDescent="0.3">
      <c r="A38">
        <v>4</v>
      </c>
      <c r="B38">
        <v>31</v>
      </c>
      <c r="C38">
        <v>344</v>
      </c>
      <c r="D38">
        <v>308</v>
      </c>
      <c r="E38">
        <v>36</v>
      </c>
      <c r="F38">
        <v>10.465116279069701</v>
      </c>
    </row>
    <row r="39" spans="1:6" hidden="1" x14ac:dyDescent="0.3">
      <c r="A39">
        <v>4</v>
      </c>
      <c r="B39">
        <v>32</v>
      </c>
      <c r="C39">
        <v>343</v>
      </c>
      <c r="D39">
        <v>313</v>
      </c>
      <c r="E39">
        <v>30</v>
      </c>
      <c r="F39">
        <v>8.7463556851311903</v>
      </c>
    </row>
    <row r="40" spans="1:6" hidden="1" x14ac:dyDescent="0.3">
      <c r="A40">
        <v>4</v>
      </c>
      <c r="B40">
        <v>33</v>
      </c>
      <c r="C40">
        <v>348</v>
      </c>
      <c r="D40">
        <v>317</v>
      </c>
      <c r="E40">
        <v>31</v>
      </c>
      <c r="F40">
        <v>8.9080459770114899</v>
      </c>
    </row>
    <row r="41" spans="1:6" hidden="1" x14ac:dyDescent="0.3">
      <c r="A41">
        <v>4</v>
      </c>
      <c r="B41">
        <v>34</v>
      </c>
      <c r="C41">
        <v>214</v>
      </c>
      <c r="D41">
        <v>195</v>
      </c>
      <c r="E41">
        <v>19</v>
      </c>
      <c r="F41">
        <v>8.8785046728971899</v>
      </c>
    </row>
    <row r="42" spans="1:6" x14ac:dyDescent="0.3">
      <c r="A42">
        <v>5</v>
      </c>
      <c r="B42">
        <v>25</v>
      </c>
      <c r="C42">
        <v>5</v>
      </c>
      <c r="D42">
        <v>4</v>
      </c>
      <c r="E42">
        <v>1</v>
      </c>
      <c r="F42">
        <v>20</v>
      </c>
    </row>
    <row r="43" spans="1:6" hidden="1" x14ac:dyDescent="0.3">
      <c r="A43">
        <v>5</v>
      </c>
      <c r="B43">
        <v>26</v>
      </c>
      <c r="C43">
        <v>224</v>
      </c>
      <c r="D43">
        <v>214</v>
      </c>
      <c r="E43">
        <v>10</v>
      </c>
      <c r="F43">
        <v>4.46428571428571</v>
      </c>
    </row>
    <row r="44" spans="1:6" hidden="1" x14ac:dyDescent="0.3">
      <c r="A44">
        <v>5</v>
      </c>
      <c r="B44">
        <v>27</v>
      </c>
      <c r="C44">
        <v>196</v>
      </c>
      <c r="D44">
        <v>177</v>
      </c>
      <c r="E44">
        <v>19</v>
      </c>
      <c r="F44">
        <v>9.6938775510203996</v>
      </c>
    </row>
    <row r="45" spans="1:6" hidden="1" x14ac:dyDescent="0.3">
      <c r="A45">
        <v>5</v>
      </c>
      <c r="B45">
        <v>28</v>
      </c>
      <c r="C45">
        <v>209</v>
      </c>
      <c r="D45">
        <v>199</v>
      </c>
      <c r="E45">
        <v>10</v>
      </c>
      <c r="F45">
        <v>4.7846889952153102</v>
      </c>
    </row>
    <row r="46" spans="1:6" hidden="1" x14ac:dyDescent="0.3">
      <c r="A46">
        <v>5</v>
      </c>
      <c r="B46">
        <v>29</v>
      </c>
      <c r="C46">
        <v>168</v>
      </c>
      <c r="D46">
        <v>147</v>
      </c>
      <c r="E46">
        <v>21</v>
      </c>
      <c r="F46">
        <v>12.5</v>
      </c>
    </row>
    <row r="47" spans="1:6" hidden="1" x14ac:dyDescent="0.3">
      <c r="A47">
        <v>5</v>
      </c>
      <c r="B47">
        <v>30</v>
      </c>
      <c r="C47">
        <v>203</v>
      </c>
      <c r="D47">
        <v>184</v>
      </c>
      <c r="E47">
        <v>19</v>
      </c>
      <c r="F47">
        <v>9.3596059113300392</v>
      </c>
    </row>
    <row r="48" spans="1:6" hidden="1" x14ac:dyDescent="0.3">
      <c r="A48">
        <v>5</v>
      </c>
      <c r="B48">
        <v>31</v>
      </c>
      <c r="C48">
        <v>207</v>
      </c>
      <c r="D48">
        <v>182</v>
      </c>
      <c r="E48">
        <v>25</v>
      </c>
      <c r="F48">
        <v>12.077294685990299</v>
      </c>
    </row>
    <row r="49" spans="1:6" hidden="1" x14ac:dyDescent="0.3">
      <c r="A49">
        <v>5</v>
      </c>
      <c r="B49">
        <v>32</v>
      </c>
      <c r="C49">
        <v>199</v>
      </c>
      <c r="D49">
        <v>174</v>
      </c>
      <c r="E49">
        <v>25</v>
      </c>
      <c r="F49">
        <v>12.562814070351701</v>
      </c>
    </row>
    <row r="50" spans="1:6" hidden="1" x14ac:dyDescent="0.3">
      <c r="A50">
        <v>5</v>
      </c>
      <c r="B50">
        <v>33</v>
      </c>
      <c r="C50">
        <v>207</v>
      </c>
      <c r="D50">
        <v>188</v>
      </c>
      <c r="E50">
        <v>19</v>
      </c>
      <c r="F50">
        <v>9.1787439613526498</v>
      </c>
    </row>
    <row r="51" spans="1:6" hidden="1" x14ac:dyDescent="0.3">
      <c r="A51">
        <v>5</v>
      </c>
      <c r="B51">
        <v>34</v>
      </c>
      <c r="C51">
        <v>137</v>
      </c>
      <c r="D51">
        <v>125</v>
      </c>
      <c r="E51">
        <v>12</v>
      </c>
      <c r="F51">
        <v>8.7591240875912408</v>
      </c>
    </row>
    <row r="52" spans="1:6" x14ac:dyDescent="0.3">
      <c r="A52">
        <v>6</v>
      </c>
      <c r="B52">
        <v>25</v>
      </c>
      <c r="C52">
        <v>2</v>
      </c>
      <c r="D52">
        <v>2</v>
      </c>
      <c r="E52">
        <v>0</v>
      </c>
      <c r="F52">
        <v>0</v>
      </c>
    </row>
    <row r="53" spans="1:6" hidden="1" x14ac:dyDescent="0.3">
      <c r="A53">
        <v>6</v>
      </c>
      <c r="B53">
        <v>26</v>
      </c>
      <c r="C53">
        <v>233</v>
      </c>
      <c r="D53">
        <v>208</v>
      </c>
      <c r="E53">
        <v>25</v>
      </c>
      <c r="F53">
        <v>10.7296137339055</v>
      </c>
    </row>
    <row r="54" spans="1:6" hidden="1" x14ac:dyDescent="0.3">
      <c r="A54">
        <v>6</v>
      </c>
      <c r="B54">
        <v>27</v>
      </c>
      <c r="C54">
        <v>206</v>
      </c>
      <c r="D54">
        <v>189</v>
      </c>
      <c r="E54">
        <v>17</v>
      </c>
      <c r="F54">
        <v>8.2524271844660095</v>
      </c>
    </row>
    <row r="55" spans="1:6" hidden="1" x14ac:dyDescent="0.3">
      <c r="A55">
        <v>6</v>
      </c>
      <c r="B55">
        <v>28</v>
      </c>
      <c r="C55">
        <v>241</v>
      </c>
      <c r="D55">
        <v>223</v>
      </c>
      <c r="E55">
        <v>18</v>
      </c>
      <c r="F55">
        <v>7.46887966804979</v>
      </c>
    </row>
    <row r="56" spans="1:6" hidden="1" x14ac:dyDescent="0.3">
      <c r="A56">
        <v>6</v>
      </c>
      <c r="B56">
        <v>29</v>
      </c>
      <c r="C56">
        <v>230</v>
      </c>
      <c r="D56">
        <v>204</v>
      </c>
      <c r="E56">
        <v>26</v>
      </c>
      <c r="F56">
        <v>11.3043478260869</v>
      </c>
    </row>
    <row r="57" spans="1:6" hidden="1" x14ac:dyDescent="0.3">
      <c r="A57">
        <v>6</v>
      </c>
      <c r="B57">
        <v>30</v>
      </c>
      <c r="C57">
        <v>212</v>
      </c>
      <c r="D57">
        <v>198</v>
      </c>
      <c r="E57">
        <v>14</v>
      </c>
      <c r="F57">
        <v>6.6037735849056602</v>
      </c>
    </row>
    <row r="58" spans="1:6" hidden="1" x14ac:dyDescent="0.3">
      <c r="A58">
        <v>6</v>
      </c>
      <c r="B58">
        <v>31</v>
      </c>
      <c r="C58">
        <v>239</v>
      </c>
      <c r="D58">
        <v>216</v>
      </c>
      <c r="E58">
        <v>23</v>
      </c>
      <c r="F58">
        <v>9.6234309623430896</v>
      </c>
    </row>
    <row r="59" spans="1:6" hidden="1" x14ac:dyDescent="0.3">
      <c r="A59">
        <v>6</v>
      </c>
      <c r="B59">
        <v>32</v>
      </c>
      <c r="C59">
        <v>213</v>
      </c>
      <c r="D59">
        <v>204</v>
      </c>
      <c r="E59">
        <v>9</v>
      </c>
      <c r="F59">
        <v>4.2253521126760498</v>
      </c>
    </row>
    <row r="60" spans="1:6" hidden="1" x14ac:dyDescent="0.3">
      <c r="A60">
        <v>6</v>
      </c>
      <c r="B60">
        <v>33</v>
      </c>
      <c r="C60">
        <v>262</v>
      </c>
      <c r="D60">
        <v>240</v>
      </c>
      <c r="E60">
        <v>22</v>
      </c>
      <c r="F60">
        <v>8.3969465648854893</v>
      </c>
    </row>
    <row r="61" spans="1:6" hidden="1" x14ac:dyDescent="0.3">
      <c r="A61">
        <v>6</v>
      </c>
      <c r="B61">
        <v>34</v>
      </c>
      <c r="C61">
        <v>149</v>
      </c>
      <c r="D61">
        <v>135</v>
      </c>
      <c r="E61">
        <v>14</v>
      </c>
      <c r="F61">
        <v>9.3959731543624105</v>
      </c>
    </row>
    <row r="62" spans="1:6" x14ac:dyDescent="0.3">
      <c r="A62">
        <v>7</v>
      </c>
      <c r="B62">
        <v>25</v>
      </c>
      <c r="C62">
        <v>7</v>
      </c>
      <c r="D62">
        <v>5</v>
      </c>
      <c r="E62">
        <v>2</v>
      </c>
      <c r="F62">
        <v>28.571428571428498</v>
      </c>
    </row>
    <row r="63" spans="1:6" hidden="1" x14ac:dyDescent="0.3">
      <c r="A63">
        <v>7</v>
      </c>
      <c r="B63">
        <v>26</v>
      </c>
      <c r="C63">
        <v>391</v>
      </c>
      <c r="D63">
        <v>354</v>
      </c>
      <c r="E63">
        <v>37</v>
      </c>
      <c r="F63">
        <v>9.4629156010230098</v>
      </c>
    </row>
    <row r="64" spans="1:6" hidden="1" x14ac:dyDescent="0.3">
      <c r="A64">
        <v>7</v>
      </c>
      <c r="B64">
        <v>27</v>
      </c>
      <c r="C64">
        <v>404</v>
      </c>
      <c r="D64">
        <v>366</v>
      </c>
      <c r="E64">
        <v>38</v>
      </c>
      <c r="F64">
        <v>9.4059405940594001</v>
      </c>
    </row>
    <row r="65" spans="1:6" hidden="1" x14ac:dyDescent="0.3">
      <c r="A65">
        <v>7</v>
      </c>
      <c r="B65">
        <v>28</v>
      </c>
      <c r="C65">
        <v>407</v>
      </c>
      <c r="D65">
        <v>370</v>
      </c>
      <c r="E65">
        <v>37</v>
      </c>
      <c r="F65">
        <v>9.0909090909090899</v>
      </c>
    </row>
    <row r="66" spans="1:6" hidden="1" x14ac:dyDescent="0.3">
      <c r="A66">
        <v>7</v>
      </c>
      <c r="B66">
        <v>29</v>
      </c>
      <c r="C66">
        <v>391</v>
      </c>
      <c r="D66">
        <v>366</v>
      </c>
      <c r="E66">
        <v>25</v>
      </c>
      <c r="F66">
        <v>6.3938618925831197</v>
      </c>
    </row>
    <row r="67" spans="1:6" hidden="1" x14ac:dyDescent="0.3">
      <c r="A67">
        <v>7</v>
      </c>
      <c r="B67">
        <v>30</v>
      </c>
      <c r="C67">
        <v>400</v>
      </c>
      <c r="D67">
        <v>363</v>
      </c>
      <c r="E67">
        <v>37</v>
      </c>
      <c r="F67">
        <v>9.25</v>
      </c>
    </row>
    <row r="68" spans="1:6" hidden="1" x14ac:dyDescent="0.3">
      <c r="A68">
        <v>7</v>
      </c>
      <c r="B68">
        <v>31</v>
      </c>
      <c r="C68">
        <v>408</v>
      </c>
      <c r="D68">
        <v>372</v>
      </c>
      <c r="E68">
        <v>36</v>
      </c>
      <c r="F68">
        <v>8.8235294117646994</v>
      </c>
    </row>
    <row r="69" spans="1:6" hidden="1" x14ac:dyDescent="0.3">
      <c r="A69">
        <v>7</v>
      </c>
      <c r="B69">
        <v>32</v>
      </c>
      <c r="C69">
        <v>422</v>
      </c>
      <c r="D69">
        <v>384</v>
      </c>
      <c r="E69">
        <v>38</v>
      </c>
      <c r="F69">
        <v>9.0047393364928894</v>
      </c>
    </row>
    <row r="70" spans="1:6" hidden="1" x14ac:dyDescent="0.3">
      <c r="A70">
        <v>7</v>
      </c>
      <c r="B70">
        <v>33</v>
      </c>
      <c r="C70">
        <v>408</v>
      </c>
      <c r="D70">
        <v>370</v>
      </c>
      <c r="E70">
        <v>38</v>
      </c>
      <c r="F70">
        <v>9.3137254901960702</v>
      </c>
    </row>
    <row r="71" spans="1:6" hidden="1" x14ac:dyDescent="0.3">
      <c r="A71">
        <v>7</v>
      </c>
      <c r="B71">
        <v>34</v>
      </c>
      <c r="C71">
        <v>257</v>
      </c>
      <c r="D71">
        <v>233</v>
      </c>
      <c r="E71">
        <v>24</v>
      </c>
      <c r="F71">
        <v>9.3385214007782107</v>
      </c>
    </row>
    <row r="72" spans="1:6" x14ac:dyDescent="0.3">
      <c r="A72">
        <v>8</v>
      </c>
      <c r="B72">
        <v>25</v>
      </c>
      <c r="C72">
        <v>3</v>
      </c>
      <c r="D72">
        <v>2</v>
      </c>
      <c r="E72">
        <v>1</v>
      </c>
      <c r="F72">
        <v>33.3333333333333</v>
      </c>
    </row>
    <row r="73" spans="1:6" hidden="1" x14ac:dyDescent="0.3">
      <c r="A73">
        <v>8</v>
      </c>
      <c r="B73">
        <v>26</v>
      </c>
      <c r="C73">
        <v>183</v>
      </c>
      <c r="D73">
        <v>166</v>
      </c>
      <c r="E73">
        <v>17</v>
      </c>
      <c r="F73">
        <v>9.2896174863387895</v>
      </c>
    </row>
    <row r="74" spans="1:6" hidden="1" x14ac:dyDescent="0.3">
      <c r="A74">
        <v>8</v>
      </c>
      <c r="B74">
        <v>27</v>
      </c>
      <c r="C74">
        <v>188</v>
      </c>
      <c r="D74">
        <v>172</v>
      </c>
      <c r="E74">
        <v>16</v>
      </c>
      <c r="F74">
        <v>8.5106382978723403</v>
      </c>
    </row>
    <row r="75" spans="1:6" hidden="1" x14ac:dyDescent="0.3">
      <c r="A75">
        <v>8</v>
      </c>
      <c r="B75">
        <v>28</v>
      </c>
      <c r="C75">
        <v>189</v>
      </c>
      <c r="D75">
        <v>173</v>
      </c>
      <c r="E75">
        <v>16</v>
      </c>
      <c r="F75">
        <v>8.4656084656084598</v>
      </c>
    </row>
    <row r="76" spans="1:6" hidden="1" x14ac:dyDescent="0.3">
      <c r="A76">
        <v>8</v>
      </c>
      <c r="B76">
        <v>29</v>
      </c>
      <c r="C76">
        <v>193</v>
      </c>
      <c r="D76">
        <v>178</v>
      </c>
      <c r="E76">
        <v>15</v>
      </c>
      <c r="F76">
        <v>7.7720207253886002</v>
      </c>
    </row>
    <row r="77" spans="1:6" hidden="1" x14ac:dyDescent="0.3">
      <c r="A77">
        <v>8</v>
      </c>
      <c r="B77">
        <v>30</v>
      </c>
      <c r="C77">
        <v>192</v>
      </c>
      <c r="D77">
        <v>169</v>
      </c>
      <c r="E77">
        <v>23</v>
      </c>
      <c r="F77">
        <v>11.9791666666666</v>
      </c>
    </row>
    <row r="78" spans="1:6" hidden="1" x14ac:dyDescent="0.3">
      <c r="A78">
        <v>8</v>
      </c>
      <c r="B78">
        <v>31</v>
      </c>
      <c r="C78">
        <v>170</v>
      </c>
      <c r="D78">
        <v>155</v>
      </c>
      <c r="E78">
        <v>15</v>
      </c>
      <c r="F78">
        <v>8.8235294117646994</v>
      </c>
    </row>
    <row r="79" spans="1:6" hidden="1" x14ac:dyDescent="0.3">
      <c r="A79">
        <v>8</v>
      </c>
      <c r="B79">
        <v>32</v>
      </c>
      <c r="C79">
        <v>205</v>
      </c>
      <c r="D79">
        <v>187</v>
      </c>
      <c r="E79">
        <v>18</v>
      </c>
      <c r="F79">
        <v>8.7804878048780406</v>
      </c>
    </row>
    <row r="80" spans="1:6" hidden="1" x14ac:dyDescent="0.3">
      <c r="A80">
        <v>8</v>
      </c>
      <c r="B80">
        <v>33</v>
      </c>
      <c r="C80">
        <v>163</v>
      </c>
      <c r="D80">
        <v>149</v>
      </c>
      <c r="E80">
        <v>14</v>
      </c>
      <c r="F80">
        <v>8.5889570552147205</v>
      </c>
    </row>
    <row r="81" spans="1:6" hidden="1" x14ac:dyDescent="0.3">
      <c r="A81">
        <v>8</v>
      </c>
      <c r="B81">
        <v>34</v>
      </c>
      <c r="C81">
        <v>140</v>
      </c>
      <c r="D81">
        <v>129</v>
      </c>
      <c r="E81">
        <v>11</v>
      </c>
      <c r="F81">
        <v>7.8571428571428497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CBFA-7D81-494B-A873-B91BFAF1EE4C}">
  <dimension ref="A1:F14"/>
  <sheetViews>
    <sheetView workbookViewId="0">
      <selection activeCell="A8" sqref="A8:F8"/>
    </sheetView>
  </sheetViews>
  <sheetFormatPr defaultRowHeight="14.4" x14ac:dyDescent="0.3"/>
  <cols>
    <col min="1" max="1" width="15.5546875" customWidth="1"/>
    <col min="2" max="2" width="12" customWidth="1"/>
    <col min="3" max="3" width="17.44140625" customWidth="1"/>
    <col min="4" max="4" width="20.33203125" customWidth="1"/>
    <col min="5" max="5" width="14.33203125" customWidth="1"/>
    <col min="6" max="6" width="11.5546875" customWidth="1"/>
  </cols>
  <sheetData>
    <row r="1" spans="1:6" x14ac:dyDescent="0.3">
      <c r="A1" t="s">
        <v>0</v>
      </c>
      <c r="B1" t="s">
        <v>11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</v>
      </c>
      <c r="B2" s="4">
        <v>46241</v>
      </c>
      <c r="C2">
        <v>79</v>
      </c>
      <c r="D2">
        <v>74</v>
      </c>
      <c r="E2">
        <v>5</v>
      </c>
      <c r="F2">
        <v>6.3291139240506302</v>
      </c>
    </row>
    <row r="3" spans="1:6" x14ac:dyDescent="0.3">
      <c r="A3">
        <v>2</v>
      </c>
      <c r="B3" s="4">
        <v>46242</v>
      </c>
      <c r="C3">
        <v>26</v>
      </c>
      <c r="D3">
        <v>24</v>
      </c>
      <c r="E3">
        <v>2</v>
      </c>
      <c r="F3">
        <v>7.6923076923076898</v>
      </c>
    </row>
    <row r="4" spans="1:6" x14ac:dyDescent="0.3">
      <c r="A4">
        <v>2</v>
      </c>
      <c r="B4" s="4">
        <v>46243</v>
      </c>
      <c r="C4">
        <v>42</v>
      </c>
      <c r="D4">
        <v>39</v>
      </c>
      <c r="E4">
        <v>3</v>
      </c>
      <c r="F4">
        <v>7.1428571428571397</v>
      </c>
    </row>
    <row r="5" spans="1:6" x14ac:dyDescent="0.3">
      <c r="A5">
        <v>2</v>
      </c>
      <c r="B5" s="4">
        <v>46244</v>
      </c>
      <c r="C5">
        <v>74</v>
      </c>
      <c r="D5">
        <v>70</v>
      </c>
      <c r="E5">
        <v>4</v>
      </c>
      <c r="F5">
        <v>5.4054054054053999</v>
      </c>
    </row>
    <row r="6" spans="1:6" x14ac:dyDescent="0.3">
      <c r="A6">
        <v>2</v>
      </c>
      <c r="B6" s="4">
        <v>46245</v>
      </c>
      <c r="C6">
        <v>64</v>
      </c>
      <c r="D6">
        <v>58</v>
      </c>
      <c r="E6">
        <v>6</v>
      </c>
      <c r="F6">
        <v>9.375</v>
      </c>
    </row>
    <row r="7" spans="1:6" x14ac:dyDescent="0.3">
      <c r="A7">
        <v>2</v>
      </c>
      <c r="B7" s="4">
        <v>46246</v>
      </c>
      <c r="C7">
        <v>79</v>
      </c>
      <c r="D7">
        <v>75</v>
      </c>
      <c r="E7">
        <v>4</v>
      </c>
      <c r="F7">
        <v>5.0632911392404996</v>
      </c>
    </row>
    <row r="8" spans="1:6" x14ac:dyDescent="0.3">
      <c r="A8">
        <v>2</v>
      </c>
      <c r="B8" s="4">
        <v>46247</v>
      </c>
      <c r="C8">
        <v>117</v>
      </c>
      <c r="D8">
        <v>60</v>
      </c>
      <c r="E8">
        <v>57</v>
      </c>
      <c r="F8">
        <v>48.717948717948701</v>
      </c>
    </row>
    <row r="9" spans="1:6" x14ac:dyDescent="0.3">
      <c r="A9">
        <v>2</v>
      </c>
      <c r="B9" s="4">
        <v>46248</v>
      </c>
      <c r="C9">
        <v>73</v>
      </c>
      <c r="D9">
        <v>68</v>
      </c>
      <c r="E9">
        <v>5</v>
      </c>
      <c r="F9">
        <v>6.8493150684931496</v>
      </c>
    </row>
    <row r="10" spans="1:6" x14ac:dyDescent="0.3">
      <c r="A10">
        <v>2</v>
      </c>
      <c r="B10" s="4">
        <v>46249</v>
      </c>
      <c r="C10">
        <v>26</v>
      </c>
      <c r="D10">
        <v>22</v>
      </c>
      <c r="E10">
        <v>4</v>
      </c>
      <c r="F10">
        <v>15.3846153846153</v>
      </c>
    </row>
    <row r="11" spans="1:6" x14ac:dyDescent="0.3">
      <c r="A11">
        <v>2</v>
      </c>
      <c r="B11" s="4">
        <v>46250</v>
      </c>
      <c r="C11">
        <v>39</v>
      </c>
      <c r="D11">
        <v>37</v>
      </c>
      <c r="E11">
        <v>2</v>
      </c>
      <c r="F11">
        <v>5.1282051282051198</v>
      </c>
    </row>
    <row r="12" spans="1:6" x14ac:dyDescent="0.3">
      <c r="A12">
        <v>2</v>
      </c>
      <c r="B12" s="4">
        <v>46251</v>
      </c>
      <c r="C12">
        <v>59</v>
      </c>
      <c r="D12">
        <v>51</v>
      </c>
      <c r="E12">
        <v>8</v>
      </c>
      <c r="F12">
        <v>13.559322033898299</v>
      </c>
    </row>
    <row r="13" spans="1:6" x14ac:dyDescent="0.3">
      <c r="A13">
        <v>2</v>
      </c>
      <c r="B13" s="4">
        <v>46252</v>
      </c>
      <c r="C13">
        <v>67</v>
      </c>
      <c r="D13">
        <v>58</v>
      </c>
      <c r="E13">
        <v>9</v>
      </c>
      <c r="F13">
        <v>13.4328358208955</v>
      </c>
    </row>
    <row r="14" spans="1:6" x14ac:dyDescent="0.3">
      <c r="A14">
        <v>2</v>
      </c>
      <c r="B14" s="4">
        <v>46253</v>
      </c>
      <c r="C14">
        <v>65</v>
      </c>
      <c r="D14">
        <v>58</v>
      </c>
      <c r="E14">
        <v>7</v>
      </c>
      <c r="F14">
        <v>10.769230769230701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72AE-F266-4BAC-A256-D8E431FDC055}">
  <dimension ref="A1:I118"/>
  <sheetViews>
    <sheetView tabSelected="1" workbookViewId="0">
      <selection activeCell="H74" sqref="H74"/>
    </sheetView>
  </sheetViews>
  <sheetFormatPr defaultRowHeight="14.4" x14ac:dyDescent="0.3"/>
  <cols>
    <col min="1" max="1" width="9.88671875" customWidth="1"/>
    <col min="2" max="2" width="17.44140625" customWidth="1"/>
    <col min="4" max="4" width="10.88671875" customWidth="1"/>
    <col min="5" max="5" width="18" customWidth="1"/>
    <col min="6" max="6" width="17.88671875" customWidth="1"/>
    <col min="7" max="7" width="22.21875" customWidth="1"/>
    <col min="8" max="8" width="20.5546875" customWidth="1"/>
    <col min="9" max="9" width="15.5546875" customWidth="1"/>
  </cols>
  <sheetData>
    <row r="1" spans="1:9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0</v>
      </c>
    </row>
    <row r="2" spans="1:9" hidden="1" x14ac:dyDescent="0.3">
      <c r="A2">
        <v>920288</v>
      </c>
      <c r="B2" s="5">
        <v>46247.007592592592</v>
      </c>
      <c r="C2">
        <v>1057</v>
      </c>
      <c r="D2">
        <v>5086</v>
      </c>
      <c r="E2" t="s">
        <v>20</v>
      </c>
      <c r="F2" t="s">
        <v>21</v>
      </c>
      <c r="G2" t="s">
        <v>22</v>
      </c>
      <c r="H2" t="s">
        <v>23</v>
      </c>
      <c r="I2">
        <v>2</v>
      </c>
    </row>
    <row r="3" spans="1:9" hidden="1" x14ac:dyDescent="0.3">
      <c r="A3">
        <v>920262</v>
      </c>
      <c r="B3" s="5">
        <v>46247.038078703707</v>
      </c>
      <c r="C3">
        <v>1046</v>
      </c>
      <c r="D3">
        <v>5066</v>
      </c>
      <c r="E3" t="s">
        <v>24</v>
      </c>
      <c r="F3" t="s">
        <v>25</v>
      </c>
      <c r="G3" t="s">
        <v>26</v>
      </c>
      <c r="H3" t="s">
        <v>23</v>
      </c>
      <c r="I3">
        <v>2</v>
      </c>
    </row>
    <row r="4" spans="1:9" hidden="1" x14ac:dyDescent="0.3">
      <c r="A4">
        <v>920273</v>
      </c>
      <c r="B4" s="5">
        <v>46247.047962962963</v>
      </c>
      <c r="C4">
        <v>1050</v>
      </c>
      <c r="D4">
        <v>5055</v>
      </c>
      <c r="E4" t="s">
        <v>27</v>
      </c>
      <c r="F4" t="s">
        <v>21</v>
      </c>
      <c r="G4" t="s">
        <v>22</v>
      </c>
      <c r="H4" t="s">
        <v>23</v>
      </c>
      <c r="I4">
        <v>2</v>
      </c>
    </row>
    <row r="5" spans="1:9" hidden="1" x14ac:dyDescent="0.3">
      <c r="A5">
        <v>920295</v>
      </c>
      <c r="B5" s="5">
        <v>46247.073587962965</v>
      </c>
      <c r="C5">
        <v>1062</v>
      </c>
      <c r="D5">
        <v>5065</v>
      </c>
      <c r="E5" t="s">
        <v>28</v>
      </c>
      <c r="F5" t="s">
        <v>29</v>
      </c>
      <c r="G5" t="s">
        <v>30</v>
      </c>
      <c r="H5" t="s">
        <v>23</v>
      </c>
      <c r="I5">
        <v>2</v>
      </c>
    </row>
    <row r="6" spans="1:9" hidden="1" x14ac:dyDescent="0.3">
      <c r="A6">
        <v>920283</v>
      </c>
      <c r="B6" s="5">
        <v>46247.091944444444</v>
      </c>
      <c r="C6">
        <v>1056</v>
      </c>
      <c r="D6">
        <v>5066</v>
      </c>
      <c r="E6" t="s">
        <v>31</v>
      </c>
      <c r="F6" t="s">
        <v>32</v>
      </c>
      <c r="G6" t="s">
        <v>33</v>
      </c>
      <c r="H6" t="s">
        <v>23</v>
      </c>
      <c r="I6">
        <v>2</v>
      </c>
    </row>
    <row r="7" spans="1:9" hidden="1" x14ac:dyDescent="0.3">
      <c r="A7">
        <v>920311</v>
      </c>
      <c r="B7" s="5">
        <v>46247.093692129631</v>
      </c>
      <c r="C7">
        <v>1073</v>
      </c>
      <c r="D7">
        <v>5057</v>
      </c>
      <c r="E7" t="s">
        <v>34</v>
      </c>
      <c r="F7" t="s">
        <v>35</v>
      </c>
      <c r="G7" t="s">
        <v>30</v>
      </c>
      <c r="H7" t="s">
        <v>23</v>
      </c>
      <c r="I7">
        <v>2</v>
      </c>
    </row>
    <row r="8" spans="1:9" hidden="1" x14ac:dyDescent="0.3">
      <c r="A8">
        <v>920264</v>
      </c>
      <c r="B8" s="5">
        <v>46247.105127314811</v>
      </c>
      <c r="C8">
        <v>1046</v>
      </c>
      <c r="D8">
        <v>5059</v>
      </c>
      <c r="E8" t="s">
        <v>36</v>
      </c>
      <c r="F8" t="s">
        <v>37</v>
      </c>
      <c r="G8" t="s">
        <v>26</v>
      </c>
      <c r="H8" t="s">
        <v>23</v>
      </c>
      <c r="I8">
        <v>2</v>
      </c>
    </row>
    <row r="9" spans="1:9" hidden="1" x14ac:dyDescent="0.3">
      <c r="A9">
        <v>920308</v>
      </c>
      <c r="B9" s="5">
        <v>46247.107870370368</v>
      </c>
      <c r="C9">
        <v>1071</v>
      </c>
      <c r="D9">
        <v>5067</v>
      </c>
      <c r="E9" t="s">
        <v>38</v>
      </c>
      <c r="F9" t="s">
        <v>35</v>
      </c>
      <c r="G9" t="s">
        <v>26</v>
      </c>
      <c r="H9" t="s">
        <v>23</v>
      </c>
      <c r="I9">
        <v>2</v>
      </c>
    </row>
    <row r="10" spans="1:9" hidden="1" x14ac:dyDescent="0.3">
      <c r="A10">
        <v>920286</v>
      </c>
      <c r="B10" s="5">
        <v>46247.110856481479</v>
      </c>
      <c r="C10">
        <v>1056</v>
      </c>
      <c r="D10">
        <v>5068</v>
      </c>
      <c r="E10" t="s">
        <v>39</v>
      </c>
      <c r="F10" t="s">
        <v>37</v>
      </c>
      <c r="G10" t="s">
        <v>33</v>
      </c>
      <c r="H10" t="s">
        <v>23</v>
      </c>
      <c r="I10">
        <v>2</v>
      </c>
    </row>
    <row r="11" spans="1:9" hidden="1" x14ac:dyDescent="0.3">
      <c r="A11">
        <v>920305</v>
      </c>
      <c r="B11" s="5">
        <v>46247.13989583333</v>
      </c>
      <c r="C11">
        <v>1068</v>
      </c>
      <c r="D11">
        <v>5074</v>
      </c>
      <c r="E11" t="s">
        <v>40</v>
      </c>
      <c r="F11" t="s">
        <v>37</v>
      </c>
      <c r="G11" t="s">
        <v>22</v>
      </c>
      <c r="H11" t="s">
        <v>23</v>
      </c>
      <c r="I11">
        <v>2</v>
      </c>
    </row>
    <row r="12" spans="1:9" hidden="1" x14ac:dyDescent="0.3">
      <c r="A12">
        <v>920269</v>
      </c>
      <c r="B12" s="5">
        <v>46247.140219907407</v>
      </c>
      <c r="C12">
        <v>1048</v>
      </c>
      <c r="D12">
        <v>5081</v>
      </c>
      <c r="E12" t="s">
        <v>41</v>
      </c>
      <c r="F12" t="s">
        <v>37</v>
      </c>
      <c r="G12" t="s">
        <v>42</v>
      </c>
      <c r="H12" t="s">
        <v>23</v>
      </c>
      <c r="I12">
        <v>2</v>
      </c>
    </row>
    <row r="13" spans="1:9" hidden="1" x14ac:dyDescent="0.3">
      <c r="A13">
        <v>920294</v>
      </c>
      <c r="B13" s="5">
        <v>46247.145092592589</v>
      </c>
      <c r="C13">
        <v>1062</v>
      </c>
      <c r="D13">
        <v>5072</v>
      </c>
      <c r="E13" t="s">
        <v>43</v>
      </c>
      <c r="F13" t="s">
        <v>21</v>
      </c>
      <c r="G13" t="s">
        <v>22</v>
      </c>
      <c r="H13" t="s">
        <v>23</v>
      </c>
      <c r="I13">
        <v>2</v>
      </c>
    </row>
    <row r="14" spans="1:9" hidden="1" x14ac:dyDescent="0.3">
      <c r="A14">
        <v>920277</v>
      </c>
      <c r="B14" s="5">
        <v>46247.145254629628</v>
      </c>
      <c r="C14">
        <v>1051</v>
      </c>
      <c r="D14">
        <v>5072</v>
      </c>
      <c r="E14" t="s">
        <v>44</v>
      </c>
      <c r="F14" t="s">
        <v>25</v>
      </c>
      <c r="G14" t="s">
        <v>42</v>
      </c>
      <c r="H14" t="s">
        <v>23</v>
      </c>
      <c r="I14">
        <v>2</v>
      </c>
    </row>
    <row r="15" spans="1:9" hidden="1" x14ac:dyDescent="0.3">
      <c r="A15">
        <v>920280</v>
      </c>
      <c r="B15" s="5">
        <v>46247.155775462961</v>
      </c>
      <c r="C15">
        <v>1051</v>
      </c>
      <c r="D15">
        <v>5090</v>
      </c>
      <c r="E15" t="s">
        <v>45</v>
      </c>
      <c r="F15" t="s">
        <v>29</v>
      </c>
      <c r="G15" t="s">
        <v>26</v>
      </c>
      <c r="H15" t="s">
        <v>23</v>
      </c>
      <c r="I15">
        <v>2</v>
      </c>
    </row>
    <row r="16" spans="1:9" hidden="1" x14ac:dyDescent="0.3">
      <c r="A16">
        <v>920293</v>
      </c>
      <c r="B16" s="5">
        <v>46247.165520833332</v>
      </c>
      <c r="C16">
        <v>1062</v>
      </c>
      <c r="D16">
        <v>5080</v>
      </c>
      <c r="E16" t="s">
        <v>46</v>
      </c>
      <c r="F16" t="s">
        <v>47</v>
      </c>
      <c r="G16" t="s">
        <v>42</v>
      </c>
      <c r="H16" t="s">
        <v>23</v>
      </c>
      <c r="I16">
        <v>2</v>
      </c>
    </row>
    <row r="17" spans="1:9" hidden="1" x14ac:dyDescent="0.3">
      <c r="A17">
        <v>920303</v>
      </c>
      <c r="B17" s="5">
        <v>46247.174618055556</v>
      </c>
      <c r="C17">
        <v>1067</v>
      </c>
      <c r="D17">
        <v>5071</v>
      </c>
      <c r="E17" t="s">
        <v>48</v>
      </c>
      <c r="F17" t="s">
        <v>29</v>
      </c>
      <c r="G17" t="s">
        <v>30</v>
      </c>
      <c r="H17" t="s">
        <v>23</v>
      </c>
      <c r="I17">
        <v>2</v>
      </c>
    </row>
    <row r="18" spans="1:9" hidden="1" x14ac:dyDescent="0.3">
      <c r="A18">
        <v>920312</v>
      </c>
      <c r="B18" s="5">
        <v>46247.179236111115</v>
      </c>
      <c r="C18">
        <v>1073</v>
      </c>
      <c r="D18">
        <v>5070</v>
      </c>
      <c r="E18" t="s">
        <v>49</v>
      </c>
      <c r="F18" t="s">
        <v>50</v>
      </c>
      <c r="G18" t="s">
        <v>26</v>
      </c>
      <c r="H18" t="s">
        <v>23</v>
      </c>
      <c r="I18">
        <v>2</v>
      </c>
    </row>
    <row r="19" spans="1:9" hidden="1" x14ac:dyDescent="0.3">
      <c r="A19">
        <v>920292</v>
      </c>
      <c r="B19" s="5">
        <v>46247.182395833333</v>
      </c>
      <c r="C19">
        <v>1061</v>
      </c>
      <c r="D19">
        <v>5053</v>
      </c>
      <c r="E19" t="s">
        <v>51</v>
      </c>
      <c r="F19" t="s">
        <v>47</v>
      </c>
      <c r="G19" t="s">
        <v>33</v>
      </c>
      <c r="H19" t="s">
        <v>23</v>
      </c>
      <c r="I19">
        <v>2</v>
      </c>
    </row>
    <row r="20" spans="1:9" hidden="1" x14ac:dyDescent="0.3">
      <c r="A20">
        <v>920306</v>
      </c>
      <c r="B20" s="5">
        <v>46247.184918981482</v>
      </c>
      <c r="C20">
        <v>1070</v>
      </c>
      <c r="D20">
        <v>5086</v>
      </c>
      <c r="E20" t="s">
        <v>52</v>
      </c>
      <c r="F20" t="s">
        <v>21</v>
      </c>
      <c r="G20" t="s">
        <v>33</v>
      </c>
      <c r="H20" t="s">
        <v>23</v>
      </c>
      <c r="I20">
        <v>2</v>
      </c>
    </row>
    <row r="21" spans="1:9" hidden="1" x14ac:dyDescent="0.3">
      <c r="A21">
        <v>920287</v>
      </c>
      <c r="B21" s="5">
        <v>46247.18986111111</v>
      </c>
      <c r="C21">
        <v>1057</v>
      </c>
      <c r="D21">
        <v>5076</v>
      </c>
      <c r="E21" t="s">
        <v>53</v>
      </c>
      <c r="F21" t="s">
        <v>29</v>
      </c>
      <c r="G21" t="s">
        <v>26</v>
      </c>
      <c r="H21" t="s">
        <v>23</v>
      </c>
      <c r="I21">
        <v>2</v>
      </c>
    </row>
    <row r="22" spans="1:9" hidden="1" x14ac:dyDescent="0.3">
      <c r="A22">
        <v>920304</v>
      </c>
      <c r="B22" s="5">
        <v>46247.206828703704</v>
      </c>
      <c r="C22">
        <v>1067</v>
      </c>
      <c r="D22">
        <v>5060</v>
      </c>
      <c r="E22" t="s">
        <v>54</v>
      </c>
      <c r="F22" t="s">
        <v>21</v>
      </c>
      <c r="G22" t="s">
        <v>26</v>
      </c>
      <c r="H22" t="s">
        <v>23</v>
      </c>
      <c r="I22">
        <v>2</v>
      </c>
    </row>
    <row r="23" spans="1:9" hidden="1" x14ac:dyDescent="0.3">
      <c r="A23">
        <v>920301</v>
      </c>
      <c r="B23" s="5">
        <v>46247.208819444444</v>
      </c>
      <c r="C23">
        <v>1066</v>
      </c>
      <c r="D23">
        <v>5088</v>
      </c>
      <c r="E23" t="s">
        <v>55</v>
      </c>
      <c r="F23" t="s">
        <v>50</v>
      </c>
      <c r="G23" t="s">
        <v>26</v>
      </c>
      <c r="H23" t="s">
        <v>23</v>
      </c>
      <c r="I23">
        <v>2</v>
      </c>
    </row>
    <row r="24" spans="1:9" hidden="1" x14ac:dyDescent="0.3">
      <c r="A24">
        <v>920319</v>
      </c>
      <c r="B24" s="5">
        <v>46247.209456018521</v>
      </c>
      <c r="C24">
        <v>1077</v>
      </c>
      <c r="D24">
        <v>5081</v>
      </c>
      <c r="E24" t="s">
        <v>56</v>
      </c>
      <c r="F24" t="s">
        <v>47</v>
      </c>
      <c r="G24" t="s">
        <v>33</v>
      </c>
      <c r="H24" t="s">
        <v>23</v>
      </c>
      <c r="I24">
        <v>2</v>
      </c>
    </row>
    <row r="25" spans="1:9" hidden="1" x14ac:dyDescent="0.3">
      <c r="A25">
        <v>920281</v>
      </c>
      <c r="B25" s="5">
        <v>46247.21570601852</v>
      </c>
      <c r="C25">
        <v>1053</v>
      </c>
      <c r="D25">
        <v>5072</v>
      </c>
      <c r="E25" t="s">
        <v>57</v>
      </c>
      <c r="F25" t="s">
        <v>21</v>
      </c>
      <c r="G25" t="s">
        <v>22</v>
      </c>
      <c r="H25" t="s">
        <v>23</v>
      </c>
      <c r="I25">
        <v>2</v>
      </c>
    </row>
    <row r="26" spans="1:9" hidden="1" x14ac:dyDescent="0.3">
      <c r="A26">
        <v>920299</v>
      </c>
      <c r="B26" s="5">
        <v>46247.221712962964</v>
      </c>
      <c r="C26">
        <v>1065</v>
      </c>
      <c r="D26">
        <v>5074</v>
      </c>
      <c r="E26" t="s">
        <v>58</v>
      </c>
      <c r="F26" t="s">
        <v>47</v>
      </c>
      <c r="G26" t="s">
        <v>22</v>
      </c>
      <c r="H26" t="s">
        <v>23</v>
      </c>
      <c r="I26">
        <v>2</v>
      </c>
    </row>
    <row r="27" spans="1:9" hidden="1" x14ac:dyDescent="0.3">
      <c r="A27">
        <v>920297</v>
      </c>
      <c r="B27" s="5">
        <v>46247.226435185185</v>
      </c>
      <c r="C27">
        <v>1065</v>
      </c>
      <c r="D27">
        <v>5066</v>
      </c>
      <c r="E27" t="s">
        <v>59</v>
      </c>
      <c r="F27" t="s">
        <v>35</v>
      </c>
      <c r="G27" t="s">
        <v>30</v>
      </c>
      <c r="H27" t="s">
        <v>23</v>
      </c>
      <c r="I27">
        <v>2</v>
      </c>
    </row>
    <row r="28" spans="1:9" hidden="1" x14ac:dyDescent="0.3">
      <c r="A28">
        <v>920285</v>
      </c>
      <c r="B28" s="5">
        <v>46247.239675925928</v>
      </c>
      <c r="C28">
        <v>1056</v>
      </c>
      <c r="D28">
        <v>5057</v>
      </c>
      <c r="E28" t="s">
        <v>60</v>
      </c>
      <c r="F28" t="s">
        <v>37</v>
      </c>
      <c r="G28" t="s">
        <v>26</v>
      </c>
      <c r="H28" t="s">
        <v>23</v>
      </c>
      <c r="I28">
        <v>2</v>
      </c>
    </row>
    <row r="29" spans="1:9" hidden="1" x14ac:dyDescent="0.3">
      <c r="A29">
        <v>920275</v>
      </c>
      <c r="B29" s="5">
        <v>46247.24009259259</v>
      </c>
      <c r="C29">
        <v>1050</v>
      </c>
      <c r="D29">
        <v>5064</v>
      </c>
      <c r="E29" t="s">
        <v>61</v>
      </c>
      <c r="F29" t="s">
        <v>29</v>
      </c>
      <c r="G29" t="s">
        <v>33</v>
      </c>
      <c r="H29" t="s">
        <v>23</v>
      </c>
      <c r="I29">
        <v>2</v>
      </c>
    </row>
    <row r="30" spans="1:9" hidden="1" x14ac:dyDescent="0.3">
      <c r="A30">
        <v>920260</v>
      </c>
      <c r="B30" s="5">
        <v>46247.24832175926</v>
      </c>
      <c r="C30">
        <v>1044</v>
      </c>
      <c r="D30">
        <v>5089</v>
      </c>
      <c r="E30" t="s">
        <v>62</v>
      </c>
      <c r="F30" t="s">
        <v>63</v>
      </c>
      <c r="G30" t="s">
        <v>26</v>
      </c>
      <c r="H30" t="s">
        <v>23</v>
      </c>
      <c r="I30">
        <v>2</v>
      </c>
    </row>
    <row r="31" spans="1:9" hidden="1" x14ac:dyDescent="0.3">
      <c r="A31">
        <v>920284</v>
      </c>
      <c r="B31" s="5">
        <v>46247.251967592594</v>
      </c>
      <c r="C31">
        <v>1056</v>
      </c>
      <c r="D31">
        <v>5087</v>
      </c>
      <c r="E31" t="s">
        <v>64</v>
      </c>
      <c r="F31" t="s">
        <v>63</v>
      </c>
      <c r="G31" t="s">
        <v>30</v>
      </c>
      <c r="H31" t="s">
        <v>23</v>
      </c>
      <c r="I31">
        <v>2</v>
      </c>
    </row>
    <row r="32" spans="1:9" hidden="1" x14ac:dyDescent="0.3">
      <c r="A32">
        <v>920310</v>
      </c>
      <c r="B32" s="5">
        <v>46247.262395833335</v>
      </c>
      <c r="C32">
        <v>1072</v>
      </c>
      <c r="D32">
        <v>5061</v>
      </c>
      <c r="E32" t="s">
        <v>65</v>
      </c>
      <c r="F32" t="s">
        <v>37</v>
      </c>
      <c r="G32" t="s">
        <v>26</v>
      </c>
      <c r="H32" t="s">
        <v>23</v>
      </c>
      <c r="I32">
        <v>2</v>
      </c>
    </row>
    <row r="33" spans="1:9" hidden="1" x14ac:dyDescent="0.3">
      <c r="A33">
        <v>920268</v>
      </c>
      <c r="B33" s="5">
        <v>46247.267488425925</v>
      </c>
      <c r="C33">
        <v>1048</v>
      </c>
      <c r="D33">
        <v>5065</v>
      </c>
      <c r="E33" t="s">
        <v>66</v>
      </c>
      <c r="F33" t="s">
        <v>32</v>
      </c>
      <c r="G33" t="s">
        <v>42</v>
      </c>
      <c r="H33" t="s">
        <v>23</v>
      </c>
      <c r="I33">
        <v>2</v>
      </c>
    </row>
    <row r="34" spans="1:9" hidden="1" x14ac:dyDescent="0.3">
      <c r="A34">
        <v>920314</v>
      </c>
      <c r="B34" s="5">
        <v>46247.268194444441</v>
      </c>
      <c r="C34">
        <v>1075</v>
      </c>
      <c r="D34">
        <v>5088</v>
      </c>
      <c r="E34" t="s">
        <v>67</v>
      </c>
      <c r="F34" t="s">
        <v>35</v>
      </c>
      <c r="G34" t="s">
        <v>42</v>
      </c>
      <c r="H34" t="s">
        <v>23</v>
      </c>
      <c r="I34">
        <v>2</v>
      </c>
    </row>
    <row r="35" spans="1:9" hidden="1" x14ac:dyDescent="0.3">
      <c r="A35">
        <v>920265</v>
      </c>
      <c r="B35" s="5">
        <v>46247.276342592595</v>
      </c>
      <c r="C35">
        <v>1046</v>
      </c>
      <c r="D35">
        <v>5084</v>
      </c>
      <c r="E35" t="s">
        <v>68</v>
      </c>
      <c r="F35" t="s">
        <v>32</v>
      </c>
      <c r="G35" t="s">
        <v>33</v>
      </c>
      <c r="H35" t="s">
        <v>23</v>
      </c>
      <c r="I35">
        <v>2</v>
      </c>
    </row>
    <row r="36" spans="1:9" hidden="1" x14ac:dyDescent="0.3">
      <c r="A36">
        <v>920307</v>
      </c>
      <c r="B36" s="5">
        <v>46247.282094907408</v>
      </c>
      <c r="C36">
        <v>1070</v>
      </c>
      <c r="D36">
        <v>5081</v>
      </c>
      <c r="E36" t="s">
        <v>69</v>
      </c>
      <c r="F36" t="s">
        <v>29</v>
      </c>
      <c r="G36" t="s">
        <v>22</v>
      </c>
      <c r="H36" t="s">
        <v>70</v>
      </c>
      <c r="I36">
        <v>2</v>
      </c>
    </row>
    <row r="37" spans="1:9" hidden="1" x14ac:dyDescent="0.3">
      <c r="A37">
        <v>920279</v>
      </c>
      <c r="B37" s="5">
        <v>46247.287754629629</v>
      </c>
      <c r="C37">
        <v>1051</v>
      </c>
      <c r="D37">
        <v>5090</v>
      </c>
      <c r="E37" t="s">
        <v>71</v>
      </c>
      <c r="F37" t="s">
        <v>72</v>
      </c>
      <c r="G37" t="s">
        <v>42</v>
      </c>
      <c r="H37" t="s">
        <v>23</v>
      </c>
      <c r="I37">
        <v>2</v>
      </c>
    </row>
    <row r="38" spans="1:9" hidden="1" x14ac:dyDescent="0.3">
      <c r="A38">
        <v>920261</v>
      </c>
      <c r="B38" s="5">
        <v>46247.295185185183</v>
      </c>
      <c r="C38">
        <v>1045</v>
      </c>
      <c r="D38">
        <v>5066</v>
      </c>
      <c r="E38" t="s">
        <v>73</v>
      </c>
      <c r="F38" t="s">
        <v>35</v>
      </c>
      <c r="G38" t="s">
        <v>42</v>
      </c>
      <c r="H38" t="s">
        <v>23</v>
      </c>
      <c r="I38">
        <v>2</v>
      </c>
    </row>
    <row r="39" spans="1:9" hidden="1" x14ac:dyDescent="0.3">
      <c r="A39">
        <v>920266</v>
      </c>
      <c r="B39" s="5">
        <v>46247.306932870371</v>
      </c>
      <c r="C39">
        <v>1046</v>
      </c>
      <c r="D39">
        <v>5075</v>
      </c>
      <c r="E39" t="s">
        <v>74</v>
      </c>
      <c r="F39" t="s">
        <v>47</v>
      </c>
      <c r="G39" t="s">
        <v>33</v>
      </c>
      <c r="H39" t="s">
        <v>23</v>
      </c>
      <c r="I39">
        <v>2</v>
      </c>
    </row>
    <row r="40" spans="1:9" hidden="1" x14ac:dyDescent="0.3">
      <c r="A40">
        <v>920290</v>
      </c>
      <c r="B40" s="5">
        <v>46247.316724537035</v>
      </c>
      <c r="C40">
        <v>1059</v>
      </c>
      <c r="D40">
        <v>5070</v>
      </c>
      <c r="E40" t="s">
        <v>75</v>
      </c>
      <c r="F40" t="s">
        <v>47</v>
      </c>
      <c r="G40" t="s">
        <v>26</v>
      </c>
      <c r="H40" t="s">
        <v>23</v>
      </c>
      <c r="I40">
        <v>2</v>
      </c>
    </row>
    <row r="41" spans="1:9" hidden="1" x14ac:dyDescent="0.3">
      <c r="A41">
        <v>920278</v>
      </c>
      <c r="B41" s="5">
        <v>46247.317037037035</v>
      </c>
      <c r="C41">
        <v>1051</v>
      </c>
      <c r="D41">
        <v>5089</v>
      </c>
      <c r="E41" t="s">
        <v>76</v>
      </c>
      <c r="F41" t="s">
        <v>21</v>
      </c>
      <c r="G41" t="s">
        <v>30</v>
      </c>
      <c r="H41" t="s">
        <v>23</v>
      </c>
      <c r="I41">
        <v>2</v>
      </c>
    </row>
    <row r="42" spans="1:9" hidden="1" x14ac:dyDescent="0.3">
      <c r="A42">
        <v>920291</v>
      </c>
      <c r="B42" s="5">
        <v>46247.331087962964</v>
      </c>
      <c r="C42">
        <v>1060</v>
      </c>
      <c r="D42">
        <v>5055</v>
      </c>
      <c r="E42" t="s">
        <v>77</v>
      </c>
      <c r="F42" t="s">
        <v>50</v>
      </c>
      <c r="G42" t="s">
        <v>42</v>
      </c>
      <c r="H42" t="s">
        <v>23</v>
      </c>
      <c r="I42">
        <v>2</v>
      </c>
    </row>
    <row r="43" spans="1:9" hidden="1" x14ac:dyDescent="0.3">
      <c r="A43">
        <v>920316</v>
      </c>
      <c r="B43" s="5">
        <v>46247.339282407411</v>
      </c>
      <c r="C43">
        <v>1075</v>
      </c>
      <c r="D43">
        <v>5084</v>
      </c>
      <c r="E43" t="s">
        <v>78</v>
      </c>
      <c r="F43" t="s">
        <v>47</v>
      </c>
      <c r="G43" t="s">
        <v>22</v>
      </c>
      <c r="H43" t="s">
        <v>23</v>
      </c>
      <c r="I43">
        <v>2</v>
      </c>
    </row>
    <row r="44" spans="1:9" hidden="1" x14ac:dyDescent="0.3">
      <c r="A44">
        <v>920317</v>
      </c>
      <c r="B44" s="5">
        <v>46247.343969907408</v>
      </c>
      <c r="C44">
        <v>1076</v>
      </c>
      <c r="D44">
        <v>5056</v>
      </c>
      <c r="E44" t="s">
        <v>79</v>
      </c>
      <c r="F44" t="s">
        <v>50</v>
      </c>
      <c r="G44" t="s">
        <v>42</v>
      </c>
      <c r="H44" t="s">
        <v>70</v>
      </c>
      <c r="I44">
        <v>2</v>
      </c>
    </row>
    <row r="45" spans="1:9" hidden="1" x14ac:dyDescent="0.3">
      <c r="A45">
        <v>920296</v>
      </c>
      <c r="B45" s="5">
        <v>46247.365486111114</v>
      </c>
      <c r="C45">
        <v>1064</v>
      </c>
      <c r="D45">
        <v>5087</v>
      </c>
      <c r="E45" t="s">
        <v>80</v>
      </c>
      <c r="F45" t="s">
        <v>63</v>
      </c>
      <c r="G45" t="s">
        <v>26</v>
      </c>
      <c r="H45" t="s">
        <v>23</v>
      </c>
      <c r="I45">
        <v>2</v>
      </c>
    </row>
    <row r="46" spans="1:9" hidden="1" x14ac:dyDescent="0.3">
      <c r="A46">
        <v>920263</v>
      </c>
      <c r="B46" s="5">
        <v>46247.375590277778</v>
      </c>
      <c r="C46">
        <v>1046</v>
      </c>
      <c r="D46">
        <v>5093</v>
      </c>
      <c r="E46" t="s">
        <v>81</v>
      </c>
      <c r="F46" t="s">
        <v>32</v>
      </c>
      <c r="G46" t="s">
        <v>22</v>
      </c>
      <c r="H46" t="s">
        <v>23</v>
      </c>
      <c r="I46">
        <v>2</v>
      </c>
    </row>
    <row r="47" spans="1:9" hidden="1" x14ac:dyDescent="0.3">
      <c r="A47">
        <v>920313</v>
      </c>
      <c r="B47" s="5">
        <v>46247.388472222221</v>
      </c>
      <c r="C47">
        <v>1074</v>
      </c>
      <c r="D47">
        <v>5068</v>
      </c>
      <c r="E47" t="s">
        <v>82</v>
      </c>
      <c r="F47" t="s">
        <v>37</v>
      </c>
      <c r="G47" t="s">
        <v>22</v>
      </c>
      <c r="H47" t="s">
        <v>23</v>
      </c>
      <c r="I47">
        <v>2</v>
      </c>
    </row>
    <row r="48" spans="1:9" hidden="1" x14ac:dyDescent="0.3">
      <c r="A48">
        <v>920320</v>
      </c>
      <c r="B48" s="5">
        <v>46247.413171296299</v>
      </c>
      <c r="C48">
        <v>1077</v>
      </c>
      <c r="D48">
        <v>5092</v>
      </c>
      <c r="E48" t="s">
        <v>83</v>
      </c>
      <c r="F48" t="s">
        <v>50</v>
      </c>
      <c r="G48" t="s">
        <v>22</v>
      </c>
      <c r="H48" t="s">
        <v>23</v>
      </c>
      <c r="I48">
        <v>2</v>
      </c>
    </row>
    <row r="49" spans="1:9" hidden="1" x14ac:dyDescent="0.3">
      <c r="A49">
        <v>920267</v>
      </c>
      <c r="B49" s="5">
        <v>46247.431967592594</v>
      </c>
      <c r="C49">
        <v>1047</v>
      </c>
      <c r="D49">
        <v>5070</v>
      </c>
      <c r="E49" t="s">
        <v>84</v>
      </c>
      <c r="F49" t="s">
        <v>35</v>
      </c>
      <c r="G49" t="s">
        <v>22</v>
      </c>
      <c r="H49" t="s">
        <v>23</v>
      </c>
      <c r="I49">
        <v>2</v>
      </c>
    </row>
    <row r="50" spans="1:9" hidden="1" x14ac:dyDescent="0.3">
      <c r="A50">
        <v>920315</v>
      </c>
      <c r="B50" s="5">
        <v>46247.43681712963</v>
      </c>
      <c r="C50">
        <v>1075</v>
      </c>
      <c r="D50">
        <v>5066</v>
      </c>
      <c r="E50" t="s">
        <v>85</v>
      </c>
      <c r="F50" t="s">
        <v>72</v>
      </c>
      <c r="G50" t="s">
        <v>26</v>
      </c>
      <c r="H50" t="s">
        <v>23</v>
      </c>
      <c r="I50">
        <v>2</v>
      </c>
    </row>
    <row r="51" spans="1:9" hidden="1" x14ac:dyDescent="0.3">
      <c r="A51">
        <v>920298</v>
      </c>
      <c r="B51" s="5">
        <v>46247.438217592593</v>
      </c>
      <c r="C51">
        <v>1065</v>
      </c>
      <c r="D51">
        <v>5068</v>
      </c>
      <c r="E51" t="s">
        <v>86</v>
      </c>
      <c r="F51" t="s">
        <v>32</v>
      </c>
      <c r="G51" t="s">
        <v>26</v>
      </c>
      <c r="H51" t="s">
        <v>23</v>
      </c>
      <c r="I51">
        <v>2</v>
      </c>
    </row>
    <row r="52" spans="1:9" hidden="1" x14ac:dyDescent="0.3">
      <c r="A52">
        <v>920276</v>
      </c>
      <c r="B52" s="5">
        <v>46247.442152777781</v>
      </c>
      <c r="C52">
        <v>1051</v>
      </c>
      <c r="D52">
        <v>5086</v>
      </c>
      <c r="E52" t="s">
        <v>87</v>
      </c>
      <c r="F52" t="s">
        <v>35</v>
      </c>
      <c r="G52" t="s">
        <v>22</v>
      </c>
      <c r="H52" t="s">
        <v>23</v>
      </c>
      <c r="I52">
        <v>2</v>
      </c>
    </row>
    <row r="53" spans="1:9" hidden="1" x14ac:dyDescent="0.3">
      <c r="A53">
        <v>920272</v>
      </c>
      <c r="B53" s="5">
        <v>46247.456736111111</v>
      </c>
      <c r="C53">
        <v>1048</v>
      </c>
      <c r="D53">
        <v>5074</v>
      </c>
      <c r="E53" t="s">
        <v>88</v>
      </c>
      <c r="F53" t="s">
        <v>35</v>
      </c>
      <c r="G53" t="s">
        <v>33</v>
      </c>
      <c r="H53" t="s">
        <v>23</v>
      </c>
      <c r="I53">
        <v>2</v>
      </c>
    </row>
    <row r="54" spans="1:9" hidden="1" x14ac:dyDescent="0.3">
      <c r="A54">
        <v>920302</v>
      </c>
      <c r="B54" s="5">
        <v>46247.512256944443</v>
      </c>
      <c r="C54">
        <v>1067</v>
      </c>
      <c r="D54">
        <v>5065</v>
      </c>
      <c r="E54" t="s">
        <v>89</v>
      </c>
      <c r="F54" t="s">
        <v>63</v>
      </c>
      <c r="G54" t="s">
        <v>26</v>
      </c>
      <c r="H54" t="s">
        <v>23</v>
      </c>
      <c r="I54">
        <v>2</v>
      </c>
    </row>
    <row r="55" spans="1:9" hidden="1" x14ac:dyDescent="0.3">
      <c r="A55">
        <v>920259</v>
      </c>
      <c r="B55" s="5">
        <v>46247.662627314814</v>
      </c>
      <c r="C55">
        <v>1043</v>
      </c>
      <c r="D55">
        <v>5069</v>
      </c>
      <c r="E55" t="s">
        <v>90</v>
      </c>
      <c r="F55" t="s">
        <v>25</v>
      </c>
      <c r="G55" t="s">
        <v>33</v>
      </c>
      <c r="H55" t="s">
        <v>23</v>
      </c>
      <c r="I55">
        <v>2</v>
      </c>
    </row>
    <row r="56" spans="1:9" hidden="1" x14ac:dyDescent="0.3">
      <c r="A56">
        <v>920731</v>
      </c>
      <c r="B56" s="5">
        <v>46247.744571759256</v>
      </c>
      <c r="C56">
        <v>1063</v>
      </c>
      <c r="D56">
        <v>5092</v>
      </c>
      <c r="E56" t="s">
        <v>91</v>
      </c>
      <c r="F56" t="s">
        <v>37</v>
      </c>
      <c r="G56" t="s">
        <v>22</v>
      </c>
      <c r="H56" t="s">
        <v>23</v>
      </c>
      <c r="I56">
        <v>2</v>
      </c>
    </row>
    <row r="57" spans="1:9" hidden="1" x14ac:dyDescent="0.3">
      <c r="A57">
        <v>920725</v>
      </c>
      <c r="B57" s="5">
        <v>46247.793263888889</v>
      </c>
      <c r="C57">
        <v>1058</v>
      </c>
      <c r="D57">
        <v>5061</v>
      </c>
      <c r="E57" t="s">
        <v>92</v>
      </c>
      <c r="F57" t="s">
        <v>21</v>
      </c>
      <c r="G57" t="s">
        <v>42</v>
      </c>
      <c r="H57" t="s">
        <v>23</v>
      </c>
      <c r="I57">
        <v>2</v>
      </c>
    </row>
    <row r="58" spans="1:9" x14ac:dyDescent="0.3">
      <c r="A58">
        <v>923247</v>
      </c>
      <c r="B58" s="5">
        <v>46247.802337962959</v>
      </c>
      <c r="C58">
        <v>1067</v>
      </c>
      <c r="E58" t="s">
        <v>93</v>
      </c>
      <c r="F58" t="s">
        <v>37</v>
      </c>
      <c r="G58" t="s">
        <v>22</v>
      </c>
      <c r="H58" t="s">
        <v>70</v>
      </c>
      <c r="I58">
        <v>2</v>
      </c>
    </row>
    <row r="59" spans="1:9" x14ac:dyDescent="0.3">
      <c r="A59">
        <v>923216</v>
      </c>
      <c r="B59" s="5">
        <v>46247.802499999998</v>
      </c>
      <c r="C59">
        <v>1073</v>
      </c>
      <c r="E59" t="s">
        <v>93</v>
      </c>
      <c r="F59" t="s">
        <v>37</v>
      </c>
      <c r="G59" t="s">
        <v>22</v>
      </c>
      <c r="H59" t="s">
        <v>70</v>
      </c>
      <c r="I59">
        <v>2</v>
      </c>
    </row>
    <row r="60" spans="1:9" x14ac:dyDescent="0.3">
      <c r="A60">
        <v>923219</v>
      </c>
      <c r="B60" s="5">
        <v>46247.80259259259</v>
      </c>
      <c r="C60">
        <v>1050</v>
      </c>
      <c r="E60" t="s">
        <v>93</v>
      </c>
      <c r="F60" t="s">
        <v>37</v>
      </c>
      <c r="G60" t="s">
        <v>22</v>
      </c>
      <c r="H60" t="s">
        <v>70</v>
      </c>
      <c r="I60">
        <v>2</v>
      </c>
    </row>
    <row r="61" spans="1:9" x14ac:dyDescent="0.3">
      <c r="A61">
        <v>923248</v>
      </c>
      <c r="B61" s="5">
        <v>46247.802731481483</v>
      </c>
      <c r="C61">
        <v>1067</v>
      </c>
      <c r="E61" t="s">
        <v>93</v>
      </c>
      <c r="F61" t="s">
        <v>37</v>
      </c>
      <c r="G61" t="s">
        <v>22</v>
      </c>
      <c r="H61" t="s">
        <v>70</v>
      </c>
      <c r="I61">
        <v>2</v>
      </c>
    </row>
    <row r="62" spans="1:9" x14ac:dyDescent="0.3">
      <c r="A62">
        <v>923256</v>
      </c>
      <c r="B62" s="5">
        <v>46247.802789351852</v>
      </c>
      <c r="C62">
        <v>1056</v>
      </c>
      <c r="E62" t="s">
        <v>93</v>
      </c>
      <c r="F62" t="s">
        <v>37</v>
      </c>
      <c r="G62" t="s">
        <v>22</v>
      </c>
      <c r="H62" t="s">
        <v>70</v>
      </c>
      <c r="I62">
        <v>2</v>
      </c>
    </row>
    <row r="63" spans="1:9" x14ac:dyDescent="0.3">
      <c r="A63">
        <v>923217</v>
      </c>
      <c r="B63" s="5">
        <v>46247.803483796299</v>
      </c>
      <c r="C63">
        <v>1073</v>
      </c>
      <c r="E63" t="s">
        <v>93</v>
      </c>
      <c r="F63" t="s">
        <v>37</v>
      </c>
      <c r="G63" t="s">
        <v>22</v>
      </c>
      <c r="H63" t="s">
        <v>70</v>
      </c>
      <c r="I63">
        <v>2</v>
      </c>
    </row>
    <row r="64" spans="1:9" x14ac:dyDescent="0.3">
      <c r="A64">
        <v>923207</v>
      </c>
      <c r="B64" s="5">
        <v>46247.804027777776</v>
      </c>
      <c r="C64">
        <v>1076</v>
      </c>
      <c r="E64" t="s">
        <v>93</v>
      </c>
      <c r="F64" t="s">
        <v>37</v>
      </c>
      <c r="G64" t="s">
        <v>22</v>
      </c>
      <c r="H64" t="s">
        <v>70</v>
      </c>
      <c r="I64">
        <v>2</v>
      </c>
    </row>
    <row r="65" spans="1:9" x14ac:dyDescent="0.3">
      <c r="A65">
        <v>923249</v>
      </c>
      <c r="B65" s="5">
        <v>46247.804120370369</v>
      </c>
      <c r="C65">
        <v>1067</v>
      </c>
      <c r="E65" t="s">
        <v>93</v>
      </c>
      <c r="F65" t="s">
        <v>37</v>
      </c>
      <c r="G65" t="s">
        <v>22</v>
      </c>
      <c r="H65" t="s">
        <v>70</v>
      </c>
      <c r="I65">
        <v>2</v>
      </c>
    </row>
    <row r="66" spans="1:9" x14ac:dyDescent="0.3">
      <c r="A66">
        <v>923212</v>
      </c>
      <c r="B66" s="5">
        <v>46247.804189814815</v>
      </c>
      <c r="C66">
        <v>1060</v>
      </c>
      <c r="E66" t="s">
        <v>93</v>
      </c>
      <c r="F66" t="s">
        <v>37</v>
      </c>
      <c r="G66" t="s">
        <v>22</v>
      </c>
      <c r="H66" t="s">
        <v>70</v>
      </c>
      <c r="I66">
        <v>2</v>
      </c>
    </row>
    <row r="67" spans="1:9" x14ac:dyDescent="0.3">
      <c r="A67">
        <v>923255</v>
      </c>
      <c r="B67" s="5">
        <v>46247.805231481485</v>
      </c>
      <c r="C67">
        <v>1056</v>
      </c>
      <c r="E67" t="s">
        <v>93</v>
      </c>
      <c r="F67" t="s">
        <v>37</v>
      </c>
      <c r="G67" t="s">
        <v>22</v>
      </c>
      <c r="H67" t="s">
        <v>70</v>
      </c>
      <c r="I67">
        <v>2</v>
      </c>
    </row>
    <row r="68" spans="1:9" x14ac:dyDescent="0.3">
      <c r="A68">
        <v>923218</v>
      </c>
      <c r="B68" s="5">
        <v>46247.805347222224</v>
      </c>
      <c r="C68">
        <v>1073</v>
      </c>
      <c r="E68" t="s">
        <v>93</v>
      </c>
      <c r="F68" t="s">
        <v>37</v>
      </c>
      <c r="G68" t="s">
        <v>22</v>
      </c>
      <c r="H68" t="s">
        <v>70</v>
      </c>
      <c r="I68">
        <v>2</v>
      </c>
    </row>
    <row r="69" spans="1:9" x14ac:dyDescent="0.3">
      <c r="A69">
        <v>923251</v>
      </c>
      <c r="B69" s="5">
        <v>46247.80537037037</v>
      </c>
      <c r="C69">
        <v>1064</v>
      </c>
      <c r="E69" t="s">
        <v>93</v>
      </c>
      <c r="F69" t="s">
        <v>37</v>
      </c>
      <c r="G69" t="s">
        <v>22</v>
      </c>
      <c r="H69" t="s">
        <v>70</v>
      </c>
      <c r="I69">
        <v>2</v>
      </c>
    </row>
    <row r="70" spans="1:9" x14ac:dyDescent="0.3">
      <c r="A70">
        <v>923211</v>
      </c>
      <c r="B70" s="5">
        <v>46247.805694444447</v>
      </c>
      <c r="C70">
        <v>1060</v>
      </c>
      <c r="E70" t="s">
        <v>93</v>
      </c>
      <c r="F70" t="s">
        <v>37</v>
      </c>
      <c r="G70" t="s">
        <v>22</v>
      </c>
      <c r="H70" t="s">
        <v>70</v>
      </c>
      <c r="I70">
        <v>2</v>
      </c>
    </row>
    <row r="71" spans="1:9" x14ac:dyDescent="0.3">
      <c r="A71">
        <v>923230</v>
      </c>
      <c r="B71" s="5">
        <v>46247.805902777778</v>
      </c>
      <c r="C71">
        <v>1071</v>
      </c>
      <c r="E71" t="s">
        <v>93</v>
      </c>
      <c r="F71" t="s">
        <v>37</v>
      </c>
      <c r="G71" t="s">
        <v>22</v>
      </c>
      <c r="H71" t="s">
        <v>70</v>
      </c>
      <c r="I71">
        <v>2</v>
      </c>
    </row>
    <row r="72" spans="1:9" x14ac:dyDescent="0.3">
      <c r="A72">
        <v>923204</v>
      </c>
      <c r="B72" s="5">
        <v>46247.806064814817</v>
      </c>
      <c r="C72">
        <v>1046</v>
      </c>
      <c r="E72" t="s">
        <v>93</v>
      </c>
      <c r="F72" t="s">
        <v>37</v>
      </c>
      <c r="G72" t="s">
        <v>22</v>
      </c>
      <c r="H72" t="s">
        <v>70</v>
      </c>
      <c r="I72">
        <v>2</v>
      </c>
    </row>
    <row r="73" spans="1:9" x14ac:dyDescent="0.3">
      <c r="A73">
        <v>923214</v>
      </c>
      <c r="B73" s="5">
        <v>46247.806111111109</v>
      </c>
      <c r="C73">
        <v>1060</v>
      </c>
      <c r="E73" t="s">
        <v>93</v>
      </c>
      <c r="F73" t="s">
        <v>37</v>
      </c>
      <c r="G73" t="s">
        <v>22</v>
      </c>
      <c r="H73" t="s">
        <v>70</v>
      </c>
      <c r="I73">
        <v>2</v>
      </c>
    </row>
    <row r="74" spans="1:9" x14ac:dyDescent="0.3">
      <c r="A74">
        <v>923233</v>
      </c>
      <c r="B74" s="5">
        <v>46247.806238425925</v>
      </c>
      <c r="C74">
        <v>1071</v>
      </c>
      <c r="E74" t="s">
        <v>93</v>
      </c>
      <c r="F74" t="s">
        <v>37</v>
      </c>
      <c r="G74" t="s">
        <v>22</v>
      </c>
      <c r="H74" t="s">
        <v>70</v>
      </c>
      <c r="I74">
        <v>2</v>
      </c>
    </row>
    <row r="75" spans="1:9" x14ac:dyDescent="0.3">
      <c r="A75">
        <v>923221</v>
      </c>
      <c r="B75" s="5">
        <v>46247.807106481479</v>
      </c>
      <c r="C75">
        <v>1050</v>
      </c>
      <c r="E75" t="s">
        <v>93</v>
      </c>
      <c r="F75" t="s">
        <v>37</v>
      </c>
      <c r="G75" t="s">
        <v>22</v>
      </c>
      <c r="H75" t="s">
        <v>70</v>
      </c>
      <c r="I75">
        <v>2</v>
      </c>
    </row>
    <row r="76" spans="1:9" x14ac:dyDescent="0.3">
      <c r="A76">
        <v>923232</v>
      </c>
      <c r="B76" s="5">
        <v>46247.807384259257</v>
      </c>
      <c r="C76">
        <v>1071</v>
      </c>
      <c r="E76" t="s">
        <v>93</v>
      </c>
      <c r="F76" t="s">
        <v>37</v>
      </c>
      <c r="G76" t="s">
        <v>22</v>
      </c>
      <c r="H76" t="s">
        <v>70</v>
      </c>
      <c r="I76">
        <v>2</v>
      </c>
    </row>
    <row r="77" spans="1:9" x14ac:dyDescent="0.3">
      <c r="A77">
        <v>923224</v>
      </c>
      <c r="B77" s="5">
        <v>46247.807534722226</v>
      </c>
      <c r="C77">
        <v>1052</v>
      </c>
      <c r="E77" t="s">
        <v>93</v>
      </c>
      <c r="F77" t="s">
        <v>37</v>
      </c>
      <c r="G77" t="s">
        <v>22</v>
      </c>
      <c r="H77" t="s">
        <v>70</v>
      </c>
      <c r="I77">
        <v>2</v>
      </c>
    </row>
    <row r="78" spans="1:9" x14ac:dyDescent="0.3">
      <c r="A78">
        <v>923209</v>
      </c>
      <c r="B78" s="5">
        <v>46247.807893518519</v>
      </c>
      <c r="C78">
        <v>1076</v>
      </c>
      <c r="E78" t="s">
        <v>93</v>
      </c>
      <c r="F78" t="s">
        <v>37</v>
      </c>
      <c r="G78" t="s">
        <v>22</v>
      </c>
      <c r="H78" t="s">
        <v>70</v>
      </c>
      <c r="I78">
        <v>2</v>
      </c>
    </row>
    <row r="79" spans="1:9" x14ac:dyDescent="0.3">
      <c r="A79">
        <v>923252</v>
      </c>
      <c r="B79" s="5">
        <v>46247.808287037034</v>
      </c>
      <c r="C79">
        <v>1064</v>
      </c>
      <c r="E79" t="s">
        <v>93</v>
      </c>
      <c r="F79" t="s">
        <v>37</v>
      </c>
      <c r="G79" t="s">
        <v>22</v>
      </c>
      <c r="H79" t="s">
        <v>70</v>
      </c>
      <c r="I79">
        <v>2</v>
      </c>
    </row>
    <row r="80" spans="1:9" x14ac:dyDescent="0.3">
      <c r="A80">
        <v>923228</v>
      </c>
      <c r="B80" s="5">
        <v>46247.808611111112</v>
      </c>
      <c r="C80">
        <v>1075</v>
      </c>
      <c r="E80" t="s">
        <v>93</v>
      </c>
      <c r="F80" t="s">
        <v>37</v>
      </c>
      <c r="G80" t="s">
        <v>22</v>
      </c>
      <c r="H80" t="s">
        <v>70</v>
      </c>
      <c r="I80">
        <v>2</v>
      </c>
    </row>
    <row r="81" spans="1:9" x14ac:dyDescent="0.3">
      <c r="A81">
        <v>923231</v>
      </c>
      <c r="B81" s="5">
        <v>46247.808680555558</v>
      </c>
      <c r="C81">
        <v>1071</v>
      </c>
      <c r="E81" t="s">
        <v>93</v>
      </c>
      <c r="F81" t="s">
        <v>37</v>
      </c>
      <c r="G81" t="s">
        <v>22</v>
      </c>
      <c r="H81" t="s">
        <v>70</v>
      </c>
      <c r="I81">
        <v>2</v>
      </c>
    </row>
    <row r="82" spans="1:9" x14ac:dyDescent="0.3">
      <c r="A82">
        <v>923237</v>
      </c>
      <c r="B82" s="5">
        <v>46247.808796296296</v>
      </c>
      <c r="C82">
        <v>1074</v>
      </c>
      <c r="E82" t="s">
        <v>93</v>
      </c>
      <c r="F82" t="s">
        <v>37</v>
      </c>
      <c r="G82" t="s">
        <v>22</v>
      </c>
      <c r="H82" t="s">
        <v>70</v>
      </c>
      <c r="I82">
        <v>2</v>
      </c>
    </row>
    <row r="83" spans="1:9" x14ac:dyDescent="0.3">
      <c r="A83">
        <v>923227</v>
      </c>
      <c r="B83" s="5">
        <v>46247.808912037035</v>
      </c>
      <c r="C83">
        <v>1075</v>
      </c>
      <c r="E83" t="s">
        <v>93</v>
      </c>
      <c r="F83" t="s">
        <v>37</v>
      </c>
      <c r="G83" t="s">
        <v>22</v>
      </c>
      <c r="H83" t="s">
        <v>70</v>
      </c>
      <c r="I83">
        <v>2</v>
      </c>
    </row>
    <row r="84" spans="1:9" x14ac:dyDescent="0.3">
      <c r="A84">
        <v>923215</v>
      </c>
      <c r="B84" s="5">
        <v>46247.809004629627</v>
      </c>
      <c r="C84">
        <v>1060</v>
      </c>
      <c r="E84" t="s">
        <v>93</v>
      </c>
      <c r="F84" t="s">
        <v>37</v>
      </c>
      <c r="G84" t="s">
        <v>22</v>
      </c>
      <c r="H84" t="s">
        <v>70</v>
      </c>
      <c r="I84">
        <v>2</v>
      </c>
    </row>
    <row r="85" spans="1:9" x14ac:dyDescent="0.3">
      <c r="A85">
        <v>923234</v>
      </c>
      <c r="B85" s="5">
        <v>46247.809259259258</v>
      </c>
      <c r="C85">
        <v>1059</v>
      </c>
      <c r="E85" t="s">
        <v>93</v>
      </c>
      <c r="F85" t="s">
        <v>37</v>
      </c>
      <c r="G85" t="s">
        <v>22</v>
      </c>
      <c r="H85" t="s">
        <v>70</v>
      </c>
      <c r="I85">
        <v>2</v>
      </c>
    </row>
    <row r="86" spans="1:9" x14ac:dyDescent="0.3">
      <c r="A86">
        <v>923240</v>
      </c>
      <c r="B86" s="5">
        <v>46247.809571759259</v>
      </c>
      <c r="C86">
        <v>1074</v>
      </c>
      <c r="E86" t="s">
        <v>93</v>
      </c>
      <c r="F86" t="s">
        <v>37</v>
      </c>
      <c r="G86" t="s">
        <v>22</v>
      </c>
      <c r="H86" t="s">
        <v>70</v>
      </c>
      <c r="I86">
        <v>2</v>
      </c>
    </row>
    <row r="87" spans="1:9" x14ac:dyDescent="0.3">
      <c r="A87">
        <v>923220</v>
      </c>
      <c r="B87" s="5">
        <v>46247.809583333335</v>
      </c>
      <c r="C87">
        <v>1050</v>
      </c>
      <c r="E87" t="s">
        <v>93</v>
      </c>
      <c r="F87" t="s">
        <v>37</v>
      </c>
      <c r="G87" t="s">
        <v>22</v>
      </c>
      <c r="H87" t="s">
        <v>70</v>
      </c>
      <c r="I87">
        <v>2</v>
      </c>
    </row>
    <row r="88" spans="1:9" x14ac:dyDescent="0.3">
      <c r="A88">
        <v>923213</v>
      </c>
      <c r="B88" s="5">
        <v>46247.809942129628</v>
      </c>
      <c r="C88">
        <v>1060</v>
      </c>
      <c r="E88" t="s">
        <v>93</v>
      </c>
      <c r="F88" t="s">
        <v>37</v>
      </c>
      <c r="G88" t="s">
        <v>22</v>
      </c>
      <c r="H88" t="s">
        <v>70</v>
      </c>
      <c r="I88">
        <v>2</v>
      </c>
    </row>
    <row r="89" spans="1:9" x14ac:dyDescent="0.3">
      <c r="A89">
        <v>923225</v>
      </c>
      <c r="B89" s="5">
        <v>46247.809976851851</v>
      </c>
      <c r="C89">
        <v>1052</v>
      </c>
      <c r="E89" t="s">
        <v>93</v>
      </c>
      <c r="F89" t="s">
        <v>37</v>
      </c>
      <c r="G89" t="s">
        <v>22</v>
      </c>
      <c r="H89" t="s">
        <v>70</v>
      </c>
      <c r="I89">
        <v>2</v>
      </c>
    </row>
    <row r="90" spans="1:9" x14ac:dyDescent="0.3">
      <c r="A90">
        <v>923242</v>
      </c>
      <c r="B90" s="5">
        <v>46247.810694444444</v>
      </c>
      <c r="C90">
        <v>1070</v>
      </c>
      <c r="E90" t="s">
        <v>93</v>
      </c>
      <c r="F90" t="s">
        <v>37</v>
      </c>
      <c r="G90" t="s">
        <v>22</v>
      </c>
      <c r="H90" t="s">
        <v>70</v>
      </c>
      <c r="I90">
        <v>2</v>
      </c>
    </row>
    <row r="91" spans="1:9" x14ac:dyDescent="0.3">
      <c r="A91">
        <v>923235</v>
      </c>
      <c r="B91" s="5">
        <v>46247.811064814814</v>
      </c>
      <c r="C91">
        <v>1059</v>
      </c>
      <c r="E91" t="s">
        <v>93</v>
      </c>
      <c r="F91" t="s">
        <v>37</v>
      </c>
      <c r="G91" t="s">
        <v>22</v>
      </c>
      <c r="H91" t="s">
        <v>70</v>
      </c>
      <c r="I91">
        <v>2</v>
      </c>
    </row>
    <row r="92" spans="1:9" x14ac:dyDescent="0.3">
      <c r="A92">
        <v>923239</v>
      </c>
      <c r="B92" s="5">
        <v>46247.811180555553</v>
      </c>
      <c r="C92">
        <v>1074</v>
      </c>
      <c r="E92" t="s">
        <v>93</v>
      </c>
      <c r="F92" t="s">
        <v>37</v>
      </c>
      <c r="G92" t="s">
        <v>22</v>
      </c>
      <c r="H92" t="s">
        <v>70</v>
      </c>
      <c r="I92">
        <v>2</v>
      </c>
    </row>
    <row r="93" spans="1:9" x14ac:dyDescent="0.3">
      <c r="A93">
        <v>923226</v>
      </c>
      <c r="B93" s="5">
        <v>46247.811296296299</v>
      </c>
      <c r="C93">
        <v>1052</v>
      </c>
      <c r="E93" t="s">
        <v>93</v>
      </c>
      <c r="F93" t="s">
        <v>37</v>
      </c>
      <c r="G93" t="s">
        <v>22</v>
      </c>
      <c r="H93" t="s">
        <v>70</v>
      </c>
      <c r="I93">
        <v>2</v>
      </c>
    </row>
    <row r="94" spans="1:9" x14ac:dyDescent="0.3">
      <c r="A94">
        <v>923246</v>
      </c>
      <c r="B94" s="5">
        <v>46247.811527777776</v>
      </c>
      <c r="C94">
        <v>1070</v>
      </c>
      <c r="E94" t="s">
        <v>93</v>
      </c>
      <c r="F94" t="s">
        <v>37</v>
      </c>
      <c r="G94" t="s">
        <v>22</v>
      </c>
      <c r="H94" t="s">
        <v>70</v>
      </c>
      <c r="I94">
        <v>2</v>
      </c>
    </row>
    <row r="95" spans="1:9" x14ac:dyDescent="0.3">
      <c r="A95">
        <v>923236</v>
      </c>
      <c r="B95" s="5">
        <v>46247.811655092592</v>
      </c>
      <c r="C95">
        <v>1059</v>
      </c>
      <c r="E95" t="s">
        <v>93</v>
      </c>
      <c r="F95" t="s">
        <v>37</v>
      </c>
      <c r="G95" t="s">
        <v>22</v>
      </c>
      <c r="H95" t="s">
        <v>70</v>
      </c>
      <c r="I95">
        <v>2</v>
      </c>
    </row>
    <row r="96" spans="1:9" x14ac:dyDescent="0.3">
      <c r="A96">
        <v>923253</v>
      </c>
      <c r="B96" s="5">
        <v>46247.81181712963</v>
      </c>
      <c r="C96">
        <v>1064</v>
      </c>
      <c r="E96" t="s">
        <v>93</v>
      </c>
      <c r="F96" t="s">
        <v>37</v>
      </c>
      <c r="G96" t="s">
        <v>22</v>
      </c>
      <c r="H96" t="s">
        <v>70</v>
      </c>
      <c r="I96">
        <v>2</v>
      </c>
    </row>
    <row r="97" spans="1:9" x14ac:dyDescent="0.3">
      <c r="A97">
        <v>923254</v>
      </c>
      <c r="B97" s="5">
        <v>46247.811932870369</v>
      </c>
      <c r="C97">
        <v>1056</v>
      </c>
      <c r="E97" t="s">
        <v>93</v>
      </c>
      <c r="F97" t="s">
        <v>37</v>
      </c>
      <c r="G97" t="s">
        <v>22</v>
      </c>
      <c r="H97" t="s">
        <v>70</v>
      </c>
      <c r="I97">
        <v>2</v>
      </c>
    </row>
    <row r="98" spans="1:9" x14ac:dyDescent="0.3">
      <c r="A98">
        <v>923243</v>
      </c>
      <c r="B98" s="5">
        <v>46247.812106481484</v>
      </c>
      <c r="C98">
        <v>1070</v>
      </c>
      <c r="E98" t="s">
        <v>93</v>
      </c>
      <c r="F98" t="s">
        <v>37</v>
      </c>
      <c r="G98" t="s">
        <v>22</v>
      </c>
      <c r="H98" t="s">
        <v>70</v>
      </c>
      <c r="I98">
        <v>2</v>
      </c>
    </row>
    <row r="99" spans="1:9" x14ac:dyDescent="0.3">
      <c r="A99">
        <v>923238</v>
      </c>
      <c r="B99" s="5">
        <v>46247.812118055554</v>
      </c>
      <c r="C99">
        <v>1074</v>
      </c>
      <c r="E99" t="s">
        <v>93</v>
      </c>
      <c r="F99" t="s">
        <v>37</v>
      </c>
      <c r="G99" t="s">
        <v>22</v>
      </c>
      <c r="H99" t="s">
        <v>70</v>
      </c>
      <c r="I99">
        <v>2</v>
      </c>
    </row>
    <row r="100" spans="1:9" x14ac:dyDescent="0.3">
      <c r="A100">
        <v>923241</v>
      </c>
      <c r="B100" s="5">
        <v>46247.8122337963</v>
      </c>
      <c r="C100">
        <v>1074</v>
      </c>
      <c r="E100" t="s">
        <v>93</v>
      </c>
      <c r="F100" t="s">
        <v>37</v>
      </c>
      <c r="G100" t="s">
        <v>22</v>
      </c>
      <c r="H100" t="s">
        <v>70</v>
      </c>
      <c r="I100">
        <v>2</v>
      </c>
    </row>
    <row r="101" spans="1:9" x14ac:dyDescent="0.3">
      <c r="A101">
        <v>923245</v>
      </c>
      <c r="B101" s="5">
        <v>46247.812638888892</v>
      </c>
      <c r="C101">
        <v>1070</v>
      </c>
      <c r="E101" t="s">
        <v>93</v>
      </c>
      <c r="F101" t="s">
        <v>37</v>
      </c>
      <c r="G101" t="s">
        <v>22</v>
      </c>
      <c r="H101" t="s">
        <v>70</v>
      </c>
      <c r="I101">
        <v>2</v>
      </c>
    </row>
    <row r="102" spans="1:9" x14ac:dyDescent="0.3">
      <c r="A102">
        <v>923222</v>
      </c>
      <c r="B102" s="5">
        <v>46247.812743055554</v>
      </c>
      <c r="C102">
        <v>1050</v>
      </c>
      <c r="E102" t="s">
        <v>93</v>
      </c>
      <c r="F102" t="s">
        <v>37</v>
      </c>
      <c r="G102" t="s">
        <v>22</v>
      </c>
      <c r="H102" t="s">
        <v>70</v>
      </c>
      <c r="I102">
        <v>2</v>
      </c>
    </row>
    <row r="103" spans="1:9" x14ac:dyDescent="0.3">
      <c r="A103">
        <v>923250</v>
      </c>
      <c r="B103" s="5">
        <v>46247.812824074077</v>
      </c>
      <c r="C103">
        <v>1067</v>
      </c>
      <c r="E103" t="s">
        <v>93</v>
      </c>
      <c r="F103" t="s">
        <v>37</v>
      </c>
      <c r="G103" t="s">
        <v>22</v>
      </c>
      <c r="H103" t="s">
        <v>70</v>
      </c>
      <c r="I103">
        <v>2</v>
      </c>
    </row>
    <row r="104" spans="1:9" x14ac:dyDescent="0.3">
      <c r="A104">
        <v>923205</v>
      </c>
      <c r="B104" s="5">
        <v>46247.812847222223</v>
      </c>
      <c r="C104">
        <v>1046</v>
      </c>
      <c r="E104" t="s">
        <v>93</v>
      </c>
      <c r="F104" t="s">
        <v>37</v>
      </c>
      <c r="G104" t="s">
        <v>22</v>
      </c>
      <c r="H104" t="s">
        <v>70</v>
      </c>
      <c r="I104">
        <v>2</v>
      </c>
    </row>
    <row r="105" spans="1:9" x14ac:dyDescent="0.3">
      <c r="A105">
        <v>923257</v>
      </c>
      <c r="B105" s="5">
        <v>46247.812905092593</v>
      </c>
      <c r="C105">
        <v>1056</v>
      </c>
      <c r="E105" t="s">
        <v>93</v>
      </c>
      <c r="F105" t="s">
        <v>37</v>
      </c>
      <c r="G105" t="s">
        <v>22</v>
      </c>
      <c r="H105" t="s">
        <v>70</v>
      </c>
      <c r="I105">
        <v>2</v>
      </c>
    </row>
    <row r="106" spans="1:9" x14ac:dyDescent="0.3">
      <c r="A106">
        <v>923229</v>
      </c>
      <c r="B106" s="5">
        <v>46247.813078703701</v>
      </c>
      <c r="C106">
        <v>1075</v>
      </c>
      <c r="E106" t="s">
        <v>93</v>
      </c>
      <c r="F106" t="s">
        <v>37</v>
      </c>
      <c r="G106" t="s">
        <v>22</v>
      </c>
      <c r="H106" t="s">
        <v>70</v>
      </c>
      <c r="I106">
        <v>2</v>
      </c>
    </row>
    <row r="107" spans="1:9" x14ac:dyDescent="0.3">
      <c r="A107">
        <v>923208</v>
      </c>
      <c r="B107" s="5">
        <v>46247.813750000001</v>
      </c>
      <c r="C107">
        <v>1076</v>
      </c>
      <c r="E107" t="s">
        <v>93</v>
      </c>
      <c r="F107" t="s">
        <v>37</v>
      </c>
      <c r="G107" t="s">
        <v>22</v>
      </c>
      <c r="H107" t="s">
        <v>70</v>
      </c>
      <c r="I107">
        <v>2</v>
      </c>
    </row>
    <row r="108" spans="1:9" x14ac:dyDescent="0.3">
      <c r="A108">
        <v>923206</v>
      </c>
      <c r="B108" s="5">
        <v>46247.813935185186</v>
      </c>
      <c r="C108">
        <v>1046</v>
      </c>
      <c r="E108" t="s">
        <v>93</v>
      </c>
      <c r="F108" t="s">
        <v>37</v>
      </c>
      <c r="G108" t="s">
        <v>22</v>
      </c>
      <c r="H108" t="s">
        <v>70</v>
      </c>
      <c r="I108">
        <v>2</v>
      </c>
    </row>
    <row r="109" spans="1:9" x14ac:dyDescent="0.3">
      <c r="A109">
        <v>923244</v>
      </c>
      <c r="B109" s="5">
        <v>46247.814050925925</v>
      </c>
      <c r="C109">
        <v>1070</v>
      </c>
      <c r="E109" t="s">
        <v>93</v>
      </c>
      <c r="F109" t="s">
        <v>37</v>
      </c>
      <c r="G109" t="s">
        <v>22</v>
      </c>
      <c r="H109" t="s">
        <v>70</v>
      </c>
      <c r="I109">
        <v>2</v>
      </c>
    </row>
    <row r="110" spans="1:9" x14ac:dyDescent="0.3">
      <c r="A110">
        <v>923210</v>
      </c>
      <c r="B110" s="5">
        <v>46247.815046296295</v>
      </c>
      <c r="C110">
        <v>1076</v>
      </c>
      <c r="E110" t="s">
        <v>93</v>
      </c>
      <c r="F110" t="s">
        <v>37</v>
      </c>
      <c r="G110" t="s">
        <v>22</v>
      </c>
      <c r="H110" t="s">
        <v>70</v>
      </c>
      <c r="I110">
        <v>2</v>
      </c>
    </row>
    <row r="111" spans="1:9" x14ac:dyDescent="0.3">
      <c r="A111">
        <v>923223</v>
      </c>
      <c r="B111" s="5">
        <v>46247.815266203703</v>
      </c>
      <c r="C111">
        <v>1050</v>
      </c>
      <c r="E111" t="s">
        <v>93</v>
      </c>
      <c r="F111" t="s">
        <v>37</v>
      </c>
      <c r="G111" t="s">
        <v>22</v>
      </c>
      <c r="H111" t="s">
        <v>70</v>
      </c>
      <c r="I111">
        <v>2</v>
      </c>
    </row>
    <row r="112" spans="1:9" hidden="1" x14ac:dyDescent="0.3">
      <c r="A112">
        <v>920770</v>
      </c>
      <c r="B112" s="5">
        <v>46247.837997685187</v>
      </c>
      <c r="C112">
        <v>1077</v>
      </c>
      <c r="D112">
        <v>5086</v>
      </c>
      <c r="E112" t="s">
        <v>88</v>
      </c>
      <c r="F112" t="s">
        <v>37</v>
      </c>
      <c r="G112" t="s">
        <v>30</v>
      </c>
      <c r="H112" t="s">
        <v>23</v>
      </c>
      <c r="I112">
        <v>2</v>
      </c>
    </row>
    <row r="113" spans="1:9" hidden="1" x14ac:dyDescent="0.3">
      <c r="A113">
        <v>920748</v>
      </c>
      <c r="B113" s="5">
        <v>46247.849918981483</v>
      </c>
      <c r="C113">
        <v>1069</v>
      </c>
      <c r="D113">
        <v>5085</v>
      </c>
      <c r="E113" t="s">
        <v>94</v>
      </c>
      <c r="F113" t="s">
        <v>63</v>
      </c>
      <c r="G113" t="s">
        <v>22</v>
      </c>
      <c r="H113" t="s">
        <v>23</v>
      </c>
      <c r="I113">
        <v>2</v>
      </c>
    </row>
    <row r="114" spans="1:9" hidden="1" x14ac:dyDescent="0.3">
      <c r="A114">
        <v>920750</v>
      </c>
      <c r="B114" s="5">
        <v>46247.865694444445</v>
      </c>
      <c r="C114">
        <v>1070</v>
      </c>
      <c r="D114">
        <v>5074</v>
      </c>
      <c r="E114" t="s">
        <v>95</v>
      </c>
      <c r="F114" t="s">
        <v>25</v>
      </c>
      <c r="G114" t="s">
        <v>26</v>
      </c>
      <c r="H114" t="s">
        <v>23</v>
      </c>
      <c r="I114">
        <v>2</v>
      </c>
    </row>
    <row r="115" spans="1:9" hidden="1" x14ac:dyDescent="0.3">
      <c r="A115">
        <v>920753</v>
      </c>
      <c r="B115" s="5">
        <v>46247.89266203704</v>
      </c>
      <c r="C115">
        <v>1072</v>
      </c>
      <c r="D115">
        <v>5076</v>
      </c>
      <c r="E115" t="s">
        <v>96</v>
      </c>
      <c r="F115" t="s">
        <v>35</v>
      </c>
      <c r="G115" t="s">
        <v>42</v>
      </c>
      <c r="H115" t="s">
        <v>23</v>
      </c>
      <c r="I115">
        <v>2</v>
      </c>
    </row>
    <row r="116" spans="1:9" hidden="1" x14ac:dyDescent="0.3">
      <c r="A116">
        <v>920706</v>
      </c>
      <c r="B116" s="5">
        <v>46247.917175925926</v>
      </c>
      <c r="C116">
        <v>1051</v>
      </c>
      <c r="D116">
        <v>5059</v>
      </c>
      <c r="E116" t="s">
        <v>97</v>
      </c>
      <c r="F116" t="s">
        <v>37</v>
      </c>
      <c r="G116" t="s">
        <v>26</v>
      </c>
      <c r="H116" t="s">
        <v>23</v>
      </c>
      <c r="I116">
        <v>2</v>
      </c>
    </row>
    <row r="117" spans="1:9" hidden="1" x14ac:dyDescent="0.3">
      <c r="A117">
        <v>920701</v>
      </c>
      <c r="B117" s="5">
        <v>46247.97047453704</v>
      </c>
      <c r="C117">
        <v>1048</v>
      </c>
      <c r="D117">
        <v>5095</v>
      </c>
      <c r="E117" t="s">
        <v>68</v>
      </c>
      <c r="F117" t="s">
        <v>37</v>
      </c>
      <c r="G117" t="s">
        <v>26</v>
      </c>
      <c r="H117" t="s">
        <v>23</v>
      </c>
      <c r="I117">
        <v>2</v>
      </c>
    </row>
    <row r="118" spans="1:9" hidden="1" x14ac:dyDescent="0.3">
      <c r="A118">
        <v>920726</v>
      </c>
      <c r="B118" s="5">
        <v>46247.985983796294</v>
      </c>
      <c r="C118">
        <v>1060</v>
      </c>
      <c r="D118">
        <v>5095</v>
      </c>
      <c r="E118" t="s">
        <v>65</v>
      </c>
      <c r="F118" t="s">
        <v>63</v>
      </c>
      <c r="G118" t="s">
        <v>42</v>
      </c>
      <c r="H118" t="s">
        <v>70</v>
      </c>
      <c r="I118">
        <v>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0FEFE-FA0C-4645-ACAE-F1580D80C709}">
  <dimension ref="A3:F66"/>
  <sheetViews>
    <sheetView topLeftCell="A46" workbookViewId="0">
      <selection activeCell="F63" sqref="F63"/>
    </sheetView>
  </sheetViews>
  <sheetFormatPr defaultRowHeight="14.4" x14ac:dyDescent="0.3"/>
  <cols>
    <col min="1" max="1" width="26.21875" bestFit="1" customWidth="1"/>
    <col min="2" max="2" width="15.5546875" bestFit="1" customWidth="1"/>
    <col min="3" max="3" width="7.88671875" bestFit="1" customWidth="1"/>
    <col min="4" max="4" width="10.5546875" bestFit="1" customWidth="1"/>
    <col min="5" max="8" width="10.6640625" bestFit="1" customWidth="1"/>
    <col min="9" max="9" width="9.6640625" bestFit="1" customWidth="1"/>
    <col min="10" max="10" width="10.6640625" bestFit="1" customWidth="1"/>
    <col min="11" max="12" width="9.6640625" bestFit="1" customWidth="1"/>
    <col min="13" max="13" width="10.6640625" bestFit="1" customWidth="1"/>
    <col min="14" max="21" width="9.6640625" bestFit="1" customWidth="1"/>
    <col min="22" max="24" width="13.77734375" bestFit="1" customWidth="1"/>
    <col min="25" max="25" width="12.6640625" bestFit="1" customWidth="1"/>
    <col min="26" max="26" width="13.77734375" bestFit="1" customWidth="1"/>
    <col min="27" max="27" width="12.6640625" bestFit="1" customWidth="1"/>
    <col min="28" max="37" width="13.77734375" bestFit="1" customWidth="1"/>
    <col min="38" max="60" width="12.6640625" bestFit="1" customWidth="1"/>
    <col min="61" max="62" width="11.6640625" bestFit="1" customWidth="1"/>
    <col min="63" max="63" width="10.5546875" bestFit="1" customWidth="1"/>
  </cols>
  <sheetData>
    <row r="3" spans="1:4" x14ac:dyDescent="0.3">
      <c r="A3" s="1" t="s">
        <v>98</v>
      </c>
      <c r="B3" s="1" t="s">
        <v>8</v>
      </c>
    </row>
    <row r="4" spans="1:4" x14ac:dyDescent="0.3">
      <c r="A4" s="1" t="s">
        <v>6</v>
      </c>
      <c r="B4" t="s">
        <v>70</v>
      </c>
      <c r="C4" t="s">
        <v>23</v>
      </c>
      <c r="D4" t="s">
        <v>7</v>
      </c>
    </row>
    <row r="5" spans="1:4" x14ac:dyDescent="0.3">
      <c r="A5" s="2" t="s">
        <v>67</v>
      </c>
      <c r="C5">
        <v>1</v>
      </c>
      <c r="D5">
        <v>1</v>
      </c>
    </row>
    <row r="6" spans="1:4" x14ac:dyDescent="0.3">
      <c r="A6" s="2" t="s">
        <v>79</v>
      </c>
      <c r="B6">
        <v>1</v>
      </c>
      <c r="D6">
        <v>1</v>
      </c>
    </row>
    <row r="7" spans="1:4" x14ac:dyDescent="0.3">
      <c r="A7" s="2" t="s">
        <v>61</v>
      </c>
      <c r="C7">
        <v>1</v>
      </c>
      <c r="D7">
        <v>1</v>
      </c>
    </row>
    <row r="8" spans="1:4" x14ac:dyDescent="0.3">
      <c r="A8" s="2" t="s">
        <v>95</v>
      </c>
      <c r="C8">
        <v>1</v>
      </c>
      <c r="D8">
        <v>1</v>
      </c>
    </row>
    <row r="9" spans="1:4" x14ac:dyDescent="0.3">
      <c r="A9" s="2" t="s">
        <v>65</v>
      </c>
      <c r="B9">
        <v>1</v>
      </c>
      <c r="C9">
        <v>1</v>
      </c>
      <c r="D9">
        <v>2</v>
      </c>
    </row>
    <row r="10" spans="1:4" x14ac:dyDescent="0.3">
      <c r="A10" s="2" t="s">
        <v>69</v>
      </c>
      <c r="B10">
        <v>1</v>
      </c>
      <c r="D10">
        <v>1</v>
      </c>
    </row>
    <row r="11" spans="1:4" x14ac:dyDescent="0.3">
      <c r="A11" s="2" t="s">
        <v>57</v>
      </c>
      <c r="C11">
        <v>1</v>
      </c>
      <c r="D11">
        <v>1</v>
      </c>
    </row>
    <row r="12" spans="1:4" x14ac:dyDescent="0.3">
      <c r="A12" s="2" t="s">
        <v>80</v>
      </c>
      <c r="C12">
        <v>1</v>
      </c>
      <c r="D12">
        <v>1</v>
      </c>
    </row>
    <row r="13" spans="1:4" x14ac:dyDescent="0.3">
      <c r="A13" s="2" t="s">
        <v>88</v>
      </c>
      <c r="C13">
        <v>2</v>
      </c>
      <c r="D13">
        <v>2</v>
      </c>
    </row>
    <row r="14" spans="1:4" x14ac:dyDescent="0.3">
      <c r="A14" s="2" t="s">
        <v>68</v>
      </c>
      <c r="C14">
        <v>2</v>
      </c>
      <c r="D14">
        <v>2</v>
      </c>
    </row>
    <row r="15" spans="1:4" x14ac:dyDescent="0.3">
      <c r="A15" s="2" t="s">
        <v>53</v>
      </c>
      <c r="C15">
        <v>1</v>
      </c>
      <c r="D15">
        <v>1</v>
      </c>
    </row>
    <row r="16" spans="1:4" x14ac:dyDescent="0.3">
      <c r="A16" s="2" t="s">
        <v>28</v>
      </c>
      <c r="C16">
        <v>1</v>
      </c>
      <c r="D16">
        <v>1</v>
      </c>
    </row>
    <row r="17" spans="1:4" x14ac:dyDescent="0.3">
      <c r="A17" s="2" t="s">
        <v>39</v>
      </c>
      <c r="C17">
        <v>1</v>
      </c>
      <c r="D17">
        <v>1</v>
      </c>
    </row>
    <row r="18" spans="1:4" x14ac:dyDescent="0.3">
      <c r="A18" s="2" t="s">
        <v>62</v>
      </c>
      <c r="C18">
        <v>1</v>
      </c>
      <c r="D18">
        <v>1</v>
      </c>
    </row>
    <row r="19" spans="1:4" x14ac:dyDescent="0.3">
      <c r="A19" s="2" t="s">
        <v>90</v>
      </c>
      <c r="C19">
        <v>1</v>
      </c>
      <c r="D19">
        <v>1</v>
      </c>
    </row>
    <row r="20" spans="1:4" x14ac:dyDescent="0.3">
      <c r="A20" s="2" t="s">
        <v>73</v>
      </c>
      <c r="C20">
        <v>1</v>
      </c>
      <c r="D20">
        <v>1</v>
      </c>
    </row>
    <row r="21" spans="1:4" x14ac:dyDescent="0.3">
      <c r="A21" s="2" t="s">
        <v>56</v>
      </c>
      <c r="C21">
        <v>1</v>
      </c>
      <c r="D21">
        <v>1</v>
      </c>
    </row>
    <row r="22" spans="1:4" x14ac:dyDescent="0.3">
      <c r="A22" s="2" t="s">
        <v>60</v>
      </c>
      <c r="C22">
        <v>1</v>
      </c>
      <c r="D22">
        <v>1</v>
      </c>
    </row>
    <row r="23" spans="1:4" x14ac:dyDescent="0.3">
      <c r="A23" s="2" t="s">
        <v>45</v>
      </c>
      <c r="C23">
        <v>1</v>
      </c>
      <c r="D23">
        <v>1</v>
      </c>
    </row>
    <row r="24" spans="1:4" x14ac:dyDescent="0.3">
      <c r="A24" s="2" t="s">
        <v>76</v>
      </c>
      <c r="C24">
        <v>1</v>
      </c>
      <c r="D24">
        <v>1</v>
      </c>
    </row>
    <row r="25" spans="1:4" x14ac:dyDescent="0.3">
      <c r="A25" s="2" t="s">
        <v>87</v>
      </c>
      <c r="C25">
        <v>1</v>
      </c>
      <c r="D25">
        <v>1</v>
      </c>
    </row>
    <row r="26" spans="1:4" x14ac:dyDescent="0.3">
      <c r="A26" s="2" t="s">
        <v>94</v>
      </c>
      <c r="C26">
        <v>1</v>
      </c>
      <c r="D26">
        <v>1</v>
      </c>
    </row>
    <row r="27" spans="1:4" x14ac:dyDescent="0.3">
      <c r="A27" s="2" t="s">
        <v>78</v>
      </c>
      <c r="C27">
        <v>1</v>
      </c>
      <c r="D27">
        <v>1</v>
      </c>
    </row>
    <row r="28" spans="1:4" x14ac:dyDescent="0.3">
      <c r="A28" s="2" t="s">
        <v>54</v>
      </c>
      <c r="C28">
        <v>1</v>
      </c>
      <c r="D28">
        <v>1</v>
      </c>
    </row>
    <row r="29" spans="1:4" x14ac:dyDescent="0.3">
      <c r="A29" s="2" t="s">
        <v>46</v>
      </c>
      <c r="C29">
        <v>1</v>
      </c>
      <c r="D29">
        <v>1</v>
      </c>
    </row>
    <row r="30" spans="1:4" x14ac:dyDescent="0.3">
      <c r="A30" s="2" t="s">
        <v>43</v>
      </c>
      <c r="C30">
        <v>1</v>
      </c>
      <c r="D30">
        <v>1</v>
      </c>
    </row>
    <row r="31" spans="1:4" x14ac:dyDescent="0.3">
      <c r="A31" s="2" t="s">
        <v>59</v>
      </c>
      <c r="C31">
        <v>1</v>
      </c>
      <c r="D31">
        <v>1</v>
      </c>
    </row>
    <row r="32" spans="1:4" x14ac:dyDescent="0.3">
      <c r="A32" s="2" t="s">
        <v>75</v>
      </c>
      <c r="C32">
        <v>1</v>
      </c>
      <c r="D32">
        <v>1</v>
      </c>
    </row>
    <row r="33" spans="1:4" x14ac:dyDescent="0.3">
      <c r="A33" s="2" t="s">
        <v>96</v>
      </c>
      <c r="C33">
        <v>1</v>
      </c>
      <c r="D33">
        <v>1</v>
      </c>
    </row>
    <row r="34" spans="1:4" x14ac:dyDescent="0.3">
      <c r="A34" s="2" t="s">
        <v>71</v>
      </c>
      <c r="C34">
        <v>1</v>
      </c>
      <c r="D34">
        <v>1</v>
      </c>
    </row>
    <row r="35" spans="1:4" x14ac:dyDescent="0.3">
      <c r="A35" s="2" t="s">
        <v>58</v>
      </c>
      <c r="C35">
        <v>1</v>
      </c>
      <c r="D35">
        <v>1</v>
      </c>
    </row>
    <row r="36" spans="1:4" x14ac:dyDescent="0.3">
      <c r="A36" s="2" t="s">
        <v>89</v>
      </c>
      <c r="C36">
        <v>1</v>
      </c>
      <c r="D36">
        <v>1</v>
      </c>
    </row>
    <row r="37" spans="1:4" x14ac:dyDescent="0.3">
      <c r="A37" s="2" t="s">
        <v>64</v>
      </c>
      <c r="C37">
        <v>1</v>
      </c>
      <c r="D37">
        <v>1</v>
      </c>
    </row>
    <row r="38" spans="1:4" x14ac:dyDescent="0.3">
      <c r="A38" s="2" t="s">
        <v>24</v>
      </c>
      <c r="C38">
        <v>1</v>
      </c>
      <c r="D38">
        <v>1</v>
      </c>
    </row>
    <row r="39" spans="1:4" x14ac:dyDescent="0.3">
      <c r="A39" s="2" t="s">
        <v>74</v>
      </c>
      <c r="C39">
        <v>1</v>
      </c>
      <c r="D39">
        <v>1</v>
      </c>
    </row>
    <row r="40" spans="1:4" x14ac:dyDescent="0.3">
      <c r="A40" s="2" t="s">
        <v>82</v>
      </c>
      <c r="C40">
        <v>1</v>
      </c>
      <c r="D40">
        <v>1</v>
      </c>
    </row>
    <row r="41" spans="1:4" x14ac:dyDescent="0.3">
      <c r="A41" s="2" t="s">
        <v>84</v>
      </c>
      <c r="C41">
        <v>1</v>
      </c>
      <c r="D41">
        <v>1</v>
      </c>
    </row>
    <row r="42" spans="1:4" x14ac:dyDescent="0.3">
      <c r="A42" s="2" t="s">
        <v>49</v>
      </c>
      <c r="C42">
        <v>1</v>
      </c>
      <c r="D42">
        <v>1</v>
      </c>
    </row>
    <row r="43" spans="1:4" x14ac:dyDescent="0.3">
      <c r="A43" s="2" t="s">
        <v>77</v>
      </c>
      <c r="C43">
        <v>1</v>
      </c>
      <c r="D43">
        <v>1</v>
      </c>
    </row>
    <row r="44" spans="1:4" x14ac:dyDescent="0.3">
      <c r="A44" s="2" t="s">
        <v>92</v>
      </c>
      <c r="C44">
        <v>1</v>
      </c>
      <c r="D44">
        <v>1</v>
      </c>
    </row>
    <row r="45" spans="1:4" x14ac:dyDescent="0.3">
      <c r="A45" s="2" t="s">
        <v>51</v>
      </c>
      <c r="C45">
        <v>1</v>
      </c>
      <c r="D45">
        <v>1</v>
      </c>
    </row>
    <row r="46" spans="1:4" x14ac:dyDescent="0.3">
      <c r="A46" s="2" t="s">
        <v>55</v>
      </c>
      <c r="C46">
        <v>1</v>
      </c>
      <c r="D46">
        <v>1</v>
      </c>
    </row>
    <row r="47" spans="1:4" x14ac:dyDescent="0.3">
      <c r="A47" s="2" t="s">
        <v>44</v>
      </c>
      <c r="C47">
        <v>1</v>
      </c>
      <c r="D47">
        <v>1</v>
      </c>
    </row>
    <row r="48" spans="1:4" x14ac:dyDescent="0.3">
      <c r="A48" s="2" t="s">
        <v>41</v>
      </c>
      <c r="C48">
        <v>1</v>
      </c>
      <c r="D48">
        <v>1</v>
      </c>
    </row>
    <row r="49" spans="1:6" x14ac:dyDescent="0.3">
      <c r="A49" s="2" t="s">
        <v>86</v>
      </c>
      <c r="C49">
        <v>1</v>
      </c>
      <c r="D49">
        <v>1</v>
      </c>
    </row>
    <row r="50" spans="1:6" x14ac:dyDescent="0.3">
      <c r="A50" s="2" t="s">
        <v>48</v>
      </c>
      <c r="C50">
        <v>1</v>
      </c>
      <c r="D50">
        <v>1</v>
      </c>
    </row>
    <row r="51" spans="1:6" x14ac:dyDescent="0.3">
      <c r="A51" s="2" t="s">
        <v>27</v>
      </c>
      <c r="C51">
        <v>1</v>
      </c>
      <c r="D51">
        <v>1</v>
      </c>
    </row>
    <row r="52" spans="1:6" x14ac:dyDescent="0.3">
      <c r="A52" s="2" t="s">
        <v>31</v>
      </c>
      <c r="C52">
        <v>1</v>
      </c>
      <c r="D52">
        <v>1</v>
      </c>
    </row>
    <row r="53" spans="1:6" x14ac:dyDescent="0.3">
      <c r="A53" s="2" t="s">
        <v>34</v>
      </c>
      <c r="C53">
        <v>1</v>
      </c>
      <c r="D53">
        <v>1</v>
      </c>
    </row>
    <row r="54" spans="1:6" x14ac:dyDescent="0.3">
      <c r="A54" s="2" t="s">
        <v>83</v>
      </c>
      <c r="C54">
        <v>1</v>
      </c>
      <c r="D54">
        <v>1</v>
      </c>
    </row>
    <row r="55" spans="1:6" x14ac:dyDescent="0.3">
      <c r="A55" s="2" t="s">
        <v>52</v>
      </c>
      <c r="C55">
        <v>1</v>
      </c>
      <c r="D55">
        <v>1</v>
      </c>
    </row>
    <row r="56" spans="1:6" x14ac:dyDescent="0.3">
      <c r="A56" s="2" t="s">
        <v>40</v>
      </c>
      <c r="C56">
        <v>1</v>
      </c>
      <c r="D56">
        <v>1</v>
      </c>
    </row>
    <row r="57" spans="1:6" x14ac:dyDescent="0.3">
      <c r="A57" s="2" t="s">
        <v>85</v>
      </c>
      <c r="C57">
        <v>1</v>
      </c>
      <c r="D57">
        <v>1</v>
      </c>
    </row>
    <row r="58" spans="1:6" x14ac:dyDescent="0.3">
      <c r="A58" s="2" t="s">
        <v>66</v>
      </c>
      <c r="C58">
        <v>1</v>
      </c>
      <c r="D58">
        <v>1</v>
      </c>
    </row>
    <row r="59" spans="1:6" x14ac:dyDescent="0.3">
      <c r="A59" s="2" t="s">
        <v>97</v>
      </c>
      <c r="C59">
        <v>1</v>
      </c>
      <c r="D59">
        <v>1</v>
      </c>
    </row>
    <row r="60" spans="1:6" x14ac:dyDescent="0.3">
      <c r="A60" s="2" t="s">
        <v>91</v>
      </c>
      <c r="C60">
        <v>1</v>
      </c>
      <c r="D60">
        <v>1</v>
      </c>
    </row>
    <row r="61" spans="1:6" x14ac:dyDescent="0.3">
      <c r="A61" s="2" t="s">
        <v>20</v>
      </c>
      <c r="C61">
        <v>1</v>
      </c>
      <c r="D61">
        <v>1</v>
      </c>
    </row>
    <row r="62" spans="1:6" x14ac:dyDescent="0.3">
      <c r="A62" s="2" t="s">
        <v>93</v>
      </c>
      <c r="B62">
        <v>54</v>
      </c>
      <c r="D62">
        <v>54</v>
      </c>
      <c r="F62" t="s">
        <v>99</v>
      </c>
    </row>
    <row r="63" spans="1:6" x14ac:dyDescent="0.3">
      <c r="A63" s="2" t="s">
        <v>38</v>
      </c>
      <c r="C63">
        <v>1</v>
      </c>
      <c r="D63">
        <v>1</v>
      </c>
    </row>
    <row r="64" spans="1:6" x14ac:dyDescent="0.3">
      <c r="A64" s="2" t="s">
        <v>81</v>
      </c>
      <c r="C64">
        <v>1</v>
      </c>
      <c r="D64">
        <v>1</v>
      </c>
    </row>
    <row r="65" spans="1:4" x14ac:dyDescent="0.3">
      <c r="A65" s="2" t="s">
        <v>36</v>
      </c>
      <c r="C65">
        <v>1</v>
      </c>
      <c r="D65">
        <v>1</v>
      </c>
    </row>
    <row r="66" spans="1:4" x14ac:dyDescent="0.3">
      <c r="A66" s="2" t="s">
        <v>7</v>
      </c>
      <c r="B66">
        <v>57</v>
      </c>
      <c r="C66">
        <v>60</v>
      </c>
      <c r="D66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WeeklyPivotTable</vt:lpstr>
      <vt:lpstr>Weekly_AuthenticationResults_Or</vt:lpstr>
      <vt:lpstr>Daily_AuthResult_Org2Week33</vt:lpstr>
      <vt:lpstr>AuthResult_Org2_Day8-13</vt:lpstr>
      <vt:lpstr>PivotTable-AuthRes_Org2_Day33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 Sipraseuth-SA</cp:lastModifiedBy>
  <dcterms:created xsi:type="dcterms:W3CDTF">2026-08-29T02:15:20Z</dcterms:created>
  <dcterms:modified xsi:type="dcterms:W3CDTF">2026-09-08T21:14:23Z</dcterms:modified>
</cp:coreProperties>
</file>